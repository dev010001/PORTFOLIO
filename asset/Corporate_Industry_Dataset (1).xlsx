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devme\Downloads\"/>
    </mc:Choice>
  </mc:AlternateContent>
  <xr:revisionPtr revIDLastSave="0" documentId="13_ncr:1_{6E04E1FB-3BA1-4251-B24C-867C98C74C4F}" xr6:coauthVersionLast="47" xr6:coauthVersionMax="47" xr10:uidLastSave="{00000000-0000-0000-0000-000000000000}"/>
  <bookViews>
    <workbookView xWindow="-108" yWindow="-108" windowWidth="23256" windowHeight="12456" activeTab="2" xr2:uid="{00000000-000D-0000-FFFF-FFFF00000000}"/>
  </bookViews>
  <sheets>
    <sheet name="Pivot Table" sheetId="2" r:id="rId1"/>
    <sheet name="Corporate Dataset" sheetId="1" r:id="rId2"/>
    <sheet name="Sheet1" sheetId="3" r:id="rId3"/>
  </sheets>
  <definedNames>
    <definedName name="Slicer_Department">#N/A</definedName>
    <definedName name="Slicer_Department1">#N/A</definedName>
    <definedName name="Slicer_Employment_Type">#N/A</definedName>
    <definedName name="Slicer_Experience__Years">#N/A</definedName>
    <definedName name="Slicer_Location">#N/A</definedName>
    <definedName name="Slicer_Manager_Name">#N/A</definedName>
    <definedName name="Slicer_Performance_Rating">#N/A</definedName>
    <definedName name="Slicer_Work_Mod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<sst xmlns="http://schemas.openxmlformats.org/spreadsheetml/2006/main" count="509" uniqueCount="163">
  <si>
    <t>Employee ID</t>
  </si>
  <si>
    <t>Employee Name</t>
  </si>
  <si>
    <t>Department</t>
  </si>
  <si>
    <t>Job Title</t>
  </si>
  <si>
    <t>Location</t>
  </si>
  <si>
    <t>Date of Joining</t>
  </si>
  <si>
    <t>Experience (Years)</t>
  </si>
  <si>
    <t>Employment Type</t>
  </si>
  <si>
    <t>Monthly Salary (INR)</t>
  </si>
  <si>
    <t>Performance Rating</t>
  </si>
  <si>
    <t>Manager Name</t>
  </si>
  <si>
    <t>Work Mode</t>
  </si>
  <si>
    <t>EMP001</t>
  </si>
  <si>
    <t>Sneha Iyer</t>
  </si>
  <si>
    <t>Admin</t>
  </si>
  <si>
    <t>Specialist</t>
  </si>
  <si>
    <t>Hyderabad</t>
  </si>
  <si>
    <t>Intern</t>
  </si>
  <si>
    <t>P. Rao</t>
  </si>
  <si>
    <t>Onsite</t>
  </si>
  <si>
    <t>EMP002</t>
  </si>
  <si>
    <t>Anjali Patel</t>
  </si>
  <si>
    <t>IT</t>
  </si>
  <si>
    <t>Mumbai</t>
  </si>
  <si>
    <t>Full-Time</t>
  </si>
  <si>
    <t>A. Desai</t>
  </si>
  <si>
    <t>Hybrid</t>
  </si>
  <si>
    <t>EMP003</t>
  </si>
  <si>
    <t>Karan Mehta</t>
  </si>
  <si>
    <t>HR</t>
  </si>
  <si>
    <t>Executive</t>
  </si>
  <si>
    <t>Chennai</t>
  </si>
  <si>
    <t>S. Khanna</t>
  </si>
  <si>
    <t>Remote</t>
  </si>
  <si>
    <t>EMP004</t>
  </si>
  <si>
    <t>Karan Sharma</t>
  </si>
  <si>
    <t>Contract</t>
  </si>
  <si>
    <t>EMP005</t>
  </si>
  <si>
    <t>Pooja Nair</t>
  </si>
  <si>
    <t>Manager</t>
  </si>
  <si>
    <t>EMP006</t>
  </si>
  <si>
    <t>Pooja Iyer</t>
  </si>
  <si>
    <t>Engineer</t>
  </si>
  <si>
    <t>EMP007</t>
  </si>
  <si>
    <t>Anjali Sharma</t>
  </si>
  <si>
    <t>EMP008</t>
  </si>
  <si>
    <t>Amit Iyer</t>
  </si>
  <si>
    <t>Marketing</t>
  </si>
  <si>
    <t>Delhi</t>
  </si>
  <si>
    <t>EMP009</t>
  </si>
  <si>
    <t>Analyst</t>
  </si>
  <si>
    <t>EMP010</t>
  </si>
  <si>
    <t>Anjali Verma</t>
  </si>
  <si>
    <t>R. Malhotra</t>
  </si>
  <si>
    <t>EMP011</t>
  </si>
  <si>
    <t>Rahul Singh</t>
  </si>
  <si>
    <t>EMP012</t>
  </si>
  <si>
    <t>Sneha Gupta</t>
  </si>
  <si>
    <t>Consultant</t>
  </si>
  <si>
    <t>EMP013</t>
  </si>
  <si>
    <t>Operations</t>
  </si>
  <si>
    <t>Pune</t>
  </si>
  <si>
    <t>EMP014</t>
  </si>
  <si>
    <t>Neha Iyer</t>
  </si>
  <si>
    <t>Finance</t>
  </si>
  <si>
    <t>EMP015</t>
  </si>
  <si>
    <t>Anjali Nair</t>
  </si>
  <si>
    <t>EMP016</t>
  </si>
  <si>
    <t>Anjali Gupta</t>
  </si>
  <si>
    <t>Sales</t>
  </si>
  <si>
    <t>EMP017</t>
  </si>
  <si>
    <t>Rohit Mehta</t>
  </si>
  <si>
    <t>Bengaluru</t>
  </si>
  <si>
    <t>EMP018</t>
  </si>
  <si>
    <t>Rahul Sharma</t>
  </si>
  <si>
    <t>EMP019</t>
  </si>
  <si>
    <t>Neha Patel</t>
  </si>
  <si>
    <t>EMP020</t>
  </si>
  <si>
    <t>Priya Gupta</t>
  </si>
  <si>
    <t>EMP021</t>
  </si>
  <si>
    <t>Vikram Nair</t>
  </si>
  <si>
    <t>EMP022</t>
  </si>
  <si>
    <t>Rohit Nair</t>
  </si>
  <si>
    <t>EMP023</t>
  </si>
  <si>
    <t>Priya Iyer</t>
  </si>
  <si>
    <t>EMP024</t>
  </si>
  <si>
    <t>Vikram Singh</t>
  </si>
  <si>
    <t>EMP025</t>
  </si>
  <si>
    <t>Rahul Gupta</t>
  </si>
  <si>
    <t>EMP026</t>
  </si>
  <si>
    <t>Anjali Singh</t>
  </si>
  <si>
    <t>EMP027</t>
  </si>
  <si>
    <t>EMP028</t>
  </si>
  <si>
    <t>Vikram Mehta</t>
  </si>
  <si>
    <t>EMP029</t>
  </si>
  <si>
    <t>EMP030</t>
  </si>
  <si>
    <t>EMP031</t>
  </si>
  <si>
    <t>Pooja Verma</t>
  </si>
  <si>
    <t>EMP032</t>
  </si>
  <si>
    <t>EMP033</t>
  </si>
  <si>
    <t>Pooja Singh</t>
  </si>
  <si>
    <t>EMP034</t>
  </si>
  <si>
    <t>Karan Patel</t>
  </si>
  <si>
    <t>EMP035</t>
  </si>
  <si>
    <t>Neha Nair</t>
  </si>
  <si>
    <t>EMP036</t>
  </si>
  <si>
    <t>EMP037</t>
  </si>
  <si>
    <t>EMP038</t>
  </si>
  <si>
    <t>Karan Nair</t>
  </si>
  <si>
    <t>EMP039</t>
  </si>
  <si>
    <t>EMP040</t>
  </si>
  <si>
    <t>EMP041</t>
  </si>
  <si>
    <t>Vikram Sharma</t>
  </si>
  <si>
    <t>EMP042</t>
  </si>
  <si>
    <t>Amit Verma</t>
  </si>
  <si>
    <t>EMP043</t>
  </si>
  <si>
    <t>EMP044</t>
  </si>
  <si>
    <t>EMP045</t>
  </si>
  <si>
    <t>EMP046</t>
  </si>
  <si>
    <t>Priya Mehta</t>
  </si>
  <si>
    <t>EMP047</t>
  </si>
  <si>
    <t>Priya Sharma</t>
  </si>
  <si>
    <t>EMP048</t>
  </si>
  <si>
    <t>Sneha Sharma</t>
  </si>
  <si>
    <t>EMP049</t>
  </si>
  <si>
    <t>EMP050</t>
  </si>
  <si>
    <t>Vikram Iyer</t>
  </si>
  <si>
    <t>Grand Total</t>
  </si>
  <si>
    <t>Sum of Monthly Salary (INR)</t>
  </si>
  <si>
    <t>Column Labels</t>
  </si>
  <si>
    <t>Count of Employee ID</t>
  </si>
  <si>
    <t>Experience</t>
  </si>
  <si>
    <t>Manger Name</t>
  </si>
  <si>
    <t>Row Labels</t>
  </si>
  <si>
    <t>(blank)</t>
  </si>
  <si>
    <t>Name</t>
  </si>
  <si>
    <t>Age</t>
  </si>
  <si>
    <t>City</t>
  </si>
  <si>
    <t>Dev</t>
  </si>
  <si>
    <t>BBA</t>
  </si>
  <si>
    <t>Surat</t>
  </si>
  <si>
    <t>Course</t>
  </si>
  <si>
    <t>Cousre</t>
  </si>
  <si>
    <t>ff</t>
  </si>
  <si>
    <t>DDA</t>
  </si>
  <si>
    <t>Rajkot</t>
  </si>
  <si>
    <t>ss</t>
  </si>
  <si>
    <t>dde</t>
  </si>
  <si>
    <t>ahm</t>
  </si>
  <si>
    <t>dda</t>
  </si>
  <si>
    <t>wwq</t>
  </si>
  <si>
    <t>adc</t>
  </si>
  <si>
    <t>dd</t>
  </si>
  <si>
    <t>fsd</t>
  </si>
  <si>
    <t>dfff</t>
  </si>
  <si>
    <t>cvd</t>
  </si>
  <si>
    <t>sd</t>
  </si>
  <si>
    <t>as</t>
  </si>
  <si>
    <t>vsd</t>
  </si>
  <si>
    <t>dvf</t>
  </si>
  <si>
    <t>dw</t>
  </si>
  <si>
    <t>saa</t>
  </si>
  <si>
    <t>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</si>
</sst>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64" fontId="0" fillId="0" borderId="0" xfId="0" applyNumberFormat="1"/>
    <xf numFmtId="0" fontId="0" fillId="0" borderId="0" xfId="0" applyAlignment="1">
      <alignment horizontal="center"/>
    </xf>
    <xf numFmtId="0" fontId="0" fillId="0" borderId="0" xfId="0" pivotButton="1"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1" xfId="0" applyBorder="1"/>
  </cellXfs>
  <cellStyles count="1">
    <cellStyle name="Normal"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yyyy\-mm\-dd"/>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[Corporate_Industry_Dataset.xlsx]Pivot Table!Budgeting</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Bengaluru</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Table'!$A$5:$A$12</c:f>
              <c:strCache>
                <c:ptCount val="7"/>
                <c:pt idx="0">
                  <c:v>Admin</c:v>
                </c:pt>
                <c:pt idx="1">
                  <c:v>Finance</c:v>
                </c:pt>
                <c:pt idx="2">
                  <c:v>HR</c:v>
                </c:pt>
                <c:pt idx="3">
                  <c:v>IT</c:v>
                </c:pt>
                <c:pt idx="4">
                  <c:v>Marketing</c:v>
                </c:pt>
                <c:pt idx="5">
                  <c:v>Operations</c:v>
                </c:pt>
                <c:pt idx="6">
                  <c:v>Sales</c:v>
                </c:pt>
              </c:strCache>
            </c:strRef>
          </c:cat>
          <c:val>
            <c:numRef>
              <c:f>'Pivot Table'!$B$5:$B$12</c:f>
              <c:numCache>
                <c:formatCode>General</c:formatCode>
                <c:ptCount val="7"/>
                <c:pt idx="0">
                  <c:v>106041</c:v>
                </c:pt>
                <c:pt idx="4">
                  <c:v>109896</c:v>
                </c:pt>
                <c:pt idx="5">
                  <c:v>107320</c:v>
                </c:pt>
              </c:numCache>
            </c:numRef>
          </c:val>
          <c:extLst>
            <c:ext xmlns:c16="http://schemas.microsoft.com/office/drawing/2014/chart" uri="{C3380CC4-5D6E-409C-BE32-E72D297353CC}">
              <c16:uniqueId val="{00000000-F707-4DCA-9DC0-E33CD5D623B6}"/>
            </c:ext>
          </c:extLst>
        </c:ser>
        <c:ser>
          <c:idx val="1"/>
          <c:order val="1"/>
          <c:tx>
            <c:strRef>
              <c:f>'Pivot Table'!$C$3:$C$4</c:f>
              <c:strCache>
                <c:ptCount val="1"/>
                <c:pt idx="0">
                  <c:v>Chennai</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Table'!$A$5:$A$12</c:f>
              <c:strCache>
                <c:ptCount val="7"/>
                <c:pt idx="0">
                  <c:v>Admin</c:v>
                </c:pt>
                <c:pt idx="1">
                  <c:v>Finance</c:v>
                </c:pt>
                <c:pt idx="2">
                  <c:v>HR</c:v>
                </c:pt>
                <c:pt idx="3">
                  <c:v>IT</c:v>
                </c:pt>
                <c:pt idx="4">
                  <c:v>Marketing</c:v>
                </c:pt>
                <c:pt idx="5">
                  <c:v>Operations</c:v>
                </c:pt>
                <c:pt idx="6">
                  <c:v>Sales</c:v>
                </c:pt>
              </c:strCache>
            </c:strRef>
          </c:cat>
          <c:val>
            <c:numRef>
              <c:f>'Pivot Table'!$C$5:$C$12</c:f>
              <c:numCache>
                <c:formatCode>General</c:formatCode>
                <c:ptCount val="7"/>
                <c:pt idx="0">
                  <c:v>86194</c:v>
                </c:pt>
                <c:pt idx="1">
                  <c:v>27329</c:v>
                </c:pt>
                <c:pt idx="2">
                  <c:v>438508</c:v>
                </c:pt>
                <c:pt idx="3">
                  <c:v>222678</c:v>
                </c:pt>
                <c:pt idx="4">
                  <c:v>113152</c:v>
                </c:pt>
                <c:pt idx="6">
                  <c:v>108785</c:v>
                </c:pt>
              </c:numCache>
            </c:numRef>
          </c:val>
          <c:extLst>
            <c:ext xmlns:c16="http://schemas.microsoft.com/office/drawing/2014/chart" uri="{C3380CC4-5D6E-409C-BE32-E72D297353CC}">
              <c16:uniqueId val="{00000007-F707-4DCA-9DC0-E33CD5D623B6}"/>
            </c:ext>
          </c:extLst>
        </c:ser>
        <c:ser>
          <c:idx val="2"/>
          <c:order val="2"/>
          <c:tx>
            <c:strRef>
              <c:f>'Pivot Table'!$D$3:$D$4</c:f>
              <c:strCache>
                <c:ptCount val="1"/>
                <c:pt idx="0">
                  <c:v>Delhi</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Table'!$A$5:$A$12</c:f>
              <c:strCache>
                <c:ptCount val="7"/>
                <c:pt idx="0">
                  <c:v>Admin</c:v>
                </c:pt>
                <c:pt idx="1">
                  <c:v>Finance</c:v>
                </c:pt>
                <c:pt idx="2">
                  <c:v>HR</c:v>
                </c:pt>
                <c:pt idx="3">
                  <c:v>IT</c:v>
                </c:pt>
                <c:pt idx="4">
                  <c:v>Marketing</c:v>
                </c:pt>
                <c:pt idx="5">
                  <c:v>Operations</c:v>
                </c:pt>
                <c:pt idx="6">
                  <c:v>Sales</c:v>
                </c:pt>
              </c:strCache>
            </c:strRef>
          </c:cat>
          <c:val>
            <c:numRef>
              <c:f>'Pivot Table'!$D$5:$D$12</c:f>
              <c:numCache>
                <c:formatCode>General</c:formatCode>
                <c:ptCount val="7"/>
                <c:pt idx="0">
                  <c:v>80257</c:v>
                </c:pt>
                <c:pt idx="2">
                  <c:v>35145</c:v>
                </c:pt>
                <c:pt idx="3">
                  <c:v>123512</c:v>
                </c:pt>
                <c:pt idx="4">
                  <c:v>56552</c:v>
                </c:pt>
                <c:pt idx="6">
                  <c:v>98109</c:v>
                </c:pt>
              </c:numCache>
            </c:numRef>
          </c:val>
          <c:extLst>
            <c:ext xmlns:c16="http://schemas.microsoft.com/office/drawing/2014/chart" uri="{C3380CC4-5D6E-409C-BE32-E72D297353CC}">
              <c16:uniqueId val="{00000008-F707-4DCA-9DC0-E33CD5D623B6}"/>
            </c:ext>
          </c:extLst>
        </c:ser>
        <c:ser>
          <c:idx val="3"/>
          <c:order val="3"/>
          <c:tx>
            <c:strRef>
              <c:f>'Pivot Table'!$E$3:$E$4</c:f>
              <c:strCache>
                <c:ptCount val="1"/>
                <c:pt idx="0">
                  <c:v>Hyderabad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Table'!$A$5:$A$12</c:f>
              <c:strCache>
                <c:ptCount val="7"/>
                <c:pt idx="0">
                  <c:v>Admin</c:v>
                </c:pt>
                <c:pt idx="1">
                  <c:v>Finance</c:v>
                </c:pt>
                <c:pt idx="2">
                  <c:v>HR</c:v>
                </c:pt>
                <c:pt idx="3">
                  <c:v>IT</c:v>
                </c:pt>
                <c:pt idx="4">
                  <c:v>Marketing</c:v>
                </c:pt>
                <c:pt idx="5">
                  <c:v>Operations</c:v>
                </c:pt>
                <c:pt idx="6">
                  <c:v>Sales</c:v>
                </c:pt>
              </c:strCache>
            </c:strRef>
          </c:cat>
          <c:val>
            <c:numRef>
              <c:f>'Pivot Table'!$E$5:$E$12</c:f>
              <c:numCache>
                <c:formatCode>General</c:formatCode>
                <c:ptCount val="7"/>
                <c:pt idx="0">
                  <c:v>103723</c:v>
                </c:pt>
                <c:pt idx="1">
                  <c:v>81286</c:v>
                </c:pt>
                <c:pt idx="4">
                  <c:v>28317</c:v>
                </c:pt>
                <c:pt idx="5">
                  <c:v>248252</c:v>
                </c:pt>
              </c:numCache>
            </c:numRef>
          </c:val>
          <c:extLst>
            <c:ext xmlns:c16="http://schemas.microsoft.com/office/drawing/2014/chart" uri="{C3380CC4-5D6E-409C-BE32-E72D297353CC}">
              <c16:uniqueId val="{00000009-F707-4DCA-9DC0-E33CD5D623B6}"/>
            </c:ext>
          </c:extLst>
        </c:ser>
        <c:ser>
          <c:idx val="4"/>
          <c:order val="4"/>
          <c:tx>
            <c:strRef>
              <c:f>'Pivot Table'!$F$3:$F$4</c:f>
              <c:strCache>
                <c:ptCount val="1"/>
                <c:pt idx="0">
                  <c:v>Mumbai</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Table'!$A$5:$A$12</c:f>
              <c:strCache>
                <c:ptCount val="7"/>
                <c:pt idx="0">
                  <c:v>Admin</c:v>
                </c:pt>
                <c:pt idx="1">
                  <c:v>Finance</c:v>
                </c:pt>
                <c:pt idx="2">
                  <c:v>HR</c:v>
                </c:pt>
                <c:pt idx="3">
                  <c:v>IT</c:v>
                </c:pt>
                <c:pt idx="4">
                  <c:v>Marketing</c:v>
                </c:pt>
                <c:pt idx="5">
                  <c:v>Operations</c:v>
                </c:pt>
                <c:pt idx="6">
                  <c:v>Sales</c:v>
                </c:pt>
              </c:strCache>
            </c:strRef>
          </c:cat>
          <c:val>
            <c:numRef>
              <c:f>'Pivot Table'!$F$5:$F$12</c:f>
              <c:numCache>
                <c:formatCode>General</c:formatCode>
                <c:ptCount val="7"/>
                <c:pt idx="0">
                  <c:v>209266</c:v>
                </c:pt>
                <c:pt idx="1">
                  <c:v>121800</c:v>
                </c:pt>
                <c:pt idx="3">
                  <c:v>350517</c:v>
                </c:pt>
                <c:pt idx="4">
                  <c:v>59780</c:v>
                </c:pt>
                <c:pt idx="5">
                  <c:v>78774</c:v>
                </c:pt>
                <c:pt idx="6">
                  <c:v>181284</c:v>
                </c:pt>
              </c:numCache>
            </c:numRef>
          </c:val>
          <c:extLst>
            <c:ext xmlns:c16="http://schemas.microsoft.com/office/drawing/2014/chart" uri="{C3380CC4-5D6E-409C-BE32-E72D297353CC}">
              <c16:uniqueId val="{0000000A-F707-4DCA-9DC0-E33CD5D623B6}"/>
            </c:ext>
          </c:extLst>
        </c:ser>
        <c:ser>
          <c:idx val="5"/>
          <c:order val="5"/>
          <c:tx>
            <c:strRef>
              <c:f>'Pivot Table'!$G$3:$G$4</c:f>
              <c:strCache>
                <c:ptCount val="1"/>
                <c:pt idx="0">
                  <c:v>Pune</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Table'!$A$5:$A$12</c:f>
              <c:strCache>
                <c:ptCount val="7"/>
                <c:pt idx="0">
                  <c:v>Admin</c:v>
                </c:pt>
                <c:pt idx="1">
                  <c:v>Finance</c:v>
                </c:pt>
                <c:pt idx="2">
                  <c:v>HR</c:v>
                </c:pt>
                <c:pt idx="3">
                  <c:v>IT</c:v>
                </c:pt>
                <c:pt idx="4">
                  <c:v>Marketing</c:v>
                </c:pt>
                <c:pt idx="5">
                  <c:v>Operations</c:v>
                </c:pt>
                <c:pt idx="6">
                  <c:v>Sales</c:v>
                </c:pt>
              </c:strCache>
            </c:strRef>
          </c:cat>
          <c:val>
            <c:numRef>
              <c:f>'Pivot Table'!$G$5:$G$12</c:f>
              <c:numCache>
                <c:formatCode>General</c:formatCode>
                <c:ptCount val="7"/>
                <c:pt idx="1">
                  <c:v>68778</c:v>
                </c:pt>
                <c:pt idx="2">
                  <c:v>113987</c:v>
                </c:pt>
                <c:pt idx="5">
                  <c:v>91056</c:v>
                </c:pt>
                <c:pt idx="6">
                  <c:v>129796</c:v>
                </c:pt>
              </c:numCache>
            </c:numRef>
          </c:val>
          <c:extLst>
            <c:ext xmlns:c16="http://schemas.microsoft.com/office/drawing/2014/chart" uri="{C3380CC4-5D6E-409C-BE32-E72D297353CC}">
              <c16:uniqueId val="{0000000B-F707-4DCA-9DC0-E33CD5D623B6}"/>
            </c:ext>
          </c:extLst>
        </c:ser>
        <c:dLbls>
          <c:showLegendKey val="0"/>
          <c:showVal val="0"/>
          <c:showCatName val="0"/>
          <c:showSerName val="0"/>
          <c:showPercent val="0"/>
          <c:showBubbleSize val="0"/>
        </c:dLbls>
        <c:gapWidth val="100"/>
        <c:overlap val="-24"/>
        <c:axId val="14156656"/>
        <c:axId val="14157136"/>
      </c:barChart>
      <c:catAx>
        <c:axId val="141566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57136"/>
        <c:crosses val="autoZero"/>
        <c:auto val="1"/>
        <c:lblAlgn val="ctr"/>
        <c:lblOffset val="100"/>
        <c:noMultiLvlLbl val="0"/>
      </c:catAx>
      <c:valAx>
        <c:axId val="141571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5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[Corporate_Industry_Dataset.xlsx]Pivot Table!PivotTable2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Table'!$B$16:$B$17</c:f>
              <c:strCache>
                <c:ptCount val="1"/>
                <c:pt idx="0">
                  <c:v>1</c:v>
                </c:pt>
              </c:strCache>
            </c:strRef>
          </c:tx>
          <c:spPr>
            <a:solidFill>
              <a:schemeClr val="accent1"/>
            </a:solidFill>
            <a:ln>
              <a:noFill/>
            </a:ln>
            <a:effectLst/>
            <a:sp3d/>
          </c:spPr>
          <c:invertIfNegative val="0"/>
          <c:cat>
            <c:strRef>
              <c:f>'Pivot Table'!$A$18:$A$60</c:f>
              <c:strCache>
                <c:ptCount val="42"/>
                <c:pt idx="0">
                  <c:v>0.8</c:v>
                </c:pt>
                <c:pt idx="1">
                  <c:v>0.9</c:v>
                </c:pt>
                <c:pt idx="2">
                  <c:v>1</c:v>
                </c:pt>
                <c:pt idx="3">
                  <c:v>1.1</c:v>
                </c:pt>
                <c:pt idx="4">
                  <c:v>1.2</c:v>
                </c:pt>
                <c:pt idx="5">
                  <c:v>1.6</c:v>
                </c:pt>
                <c:pt idx="6">
                  <c:v>1.7</c:v>
                </c:pt>
                <c:pt idx="7">
                  <c:v>1.8</c:v>
                </c:pt>
                <c:pt idx="8">
                  <c:v>1.9</c:v>
                </c:pt>
                <c:pt idx="9">
                  <c:v>2.5</c:v>
                </c:pt>
                <c:pt idx="10">
                  <c:v>2.8</c:v>
                </c:pt>
                <c:pt idx="11">
                  <c:v>2.9</c:v>
                </c:pt>
                <c:pt idx="12">
                  <c:v>3.1</c:v>
                </c:pt>
                <c:pt idx="13">
                  <c:v>3.3</c:v>
                </c:pt>
                <c:pt idx="14">
                  <c:v>3.5</c:v>
                </c:pt>
                <c:pt idx="15">
                  <c:v>3.8</c:v>
                </c:pt>
                <c:pt idx="16">
                  <c:v>3.9</c:v>
                </c:pt>
                <c:pt idx="17">
                  <c:v>4</c:v>
                </c:pt>
                <c:pt idx="18">
                  <c:v>4.1</c:v>
                </c:pt>
                <c:pt idx="19">
                  <c:v>4.3</c:v>
                </c:pt>
                <c:pt idx="20">
                  <c:v>4.4</c:v>
                </c:pt>
                <c:pt idx="21">
                  <c:v>5</c:v>
                </c:pt>
                <c:pt idx="22">
                  <c:v>5.1</c:v>
                </c:pt>
                <c:pt idx="23">
                  <c:v>5.5</c:v>
                </c:pt>
                <c:pt idx="24">
                  <c:v>6.1</c:v>
                </c:pt>
                <c:pt idx="25">
                  <c:v>6.2</c:v>
                </c:pt>
                <c:pt idx="26">
                  <c:v>6.3</c:v>
                </c:pt>
                <c:pt idx="27">
                  <c:v>6.4</c:v>
                </c:pt>
                <c:pt idx="28">
                  <c:v>7</c:v>
                </c:pt>
                <c:pt idx="29">
                  <c:v>7.4</c:v>
                </c:pt>
                <c:pt idx="30">
                  <c:v>7.6</c:v>
                </c:pt>
                <c:pt idx="31">
                  <c:v>7.7</c:v>
                </c:pt>
                <c:pt idx="32">
                  <c:v>7.9</c:v>
                </c:pt>
                <c:pt idx="33">
                  <c:v>8.3</c:v>
                </c:pt>
                <c:pt idx="34">
                  <c:v>8.4</c:v>
                </c:pt>
                <c:pt idx="35">
                  <c:v>8.9</c:v>
                </c:pt>
                <c:pt idx="36">
                  <c:v>9</c:v>
                </c:pt>
                <c:pt idx="37">
                  <c:v>9.3</c:v>
                </c:pt>
                <c:pt idx="38">
                  <c:v>9.4</c:v>
                </c:pt>
                <c:pt idx="39">
                  <c:v>9.6</c:v>
                </c:pt>
                <c:pt idx="40">
                  <c:v>9.9</c:v>
                </c:pt>
                <c:pt idx="41">
                  <c:v>10</c:v>
                </c:pt>
              </c:strCache>
            </c:strRef>
          </c:cat>
          <c:val>
            <c:numRef>
              <c:f>'Pivot Table'!$B$18:$B$60</c:f>
              <c:numCache>
                <c:formatCode>General</c:formatCode>
                <c:ptCount val="42"/>
                <c:pt idx="1">
                  <c:v>37361</c:v>
                </c:pt>
                <c:pt idx="6">
                  <c:v>68104</c:v>
                </c:pt>
                <c:pt idx="7">
                  <c:v>67809</c:v>
                </c:pt>
                <c:pt idx="8">
                  <c:v>107187</c:v>
                </c:pt>
                <c:pt idx="11">
                  <c:v>106236</c:v>
                </c:pt>
                <c:pt idx="19">
                  <c:v>56870</c:v>
                </c:pt>
                <c:pt idx="22">
                  <c:v>68778</c:v>
                </c:pt>
                <c:pt idx="40">
                  <c:v>115491</c:v>
                </c:pt>
              </c:numCache>
            </c:numRef>
          </c:val>
          <c:extLst>
            <c:ext xmlns:c16="http://schemas.microsoft.com/office/drawing/2014/chart" uri="{C3380CC4-5D6E-409C-BE32-E72D297353CC}">
              <c16:uniqueId val="{00000000-219A-4D75-9D74-8EFDF8A1BF9A}"/>
            </c:ext>
          </c:extLst>
        </c:ser>
        <c:ser>
          <c:idx val="1"/>
          <c:order val="1"/>
          <c:tx>
            <c:strRef>
              <c:f>'Pivot Table'!$C$16:$C$17</c:f>
              <c:strCache>
                <c:ptCount val="1"/>
                <c:pt idx="0">
                  <c:v>2</c:v>
                </c:pt>
              </c:strCache>
            </c:strRef>
          </c:tx>
          <c:spPr>
            <a:solidFill>
              <a:schemeClr val="accent2"/>
            </a:solidFill>
            <a:ln>
              <a:noFill/>
            </a:ln>
            <a:effectLst/>
            <a:sp3d/>
          </c:spPr>
          <c:invertIfNegative val="0"/>
          <c:cat>
            <c:strRef>
              <c:f>'Pivot Table'!$A$18:$A$60</c:f>
              <c:strCache>
                <c:ptCount val="42"/>
                <c:pt idx="0">
                  <c:v>0.8</c:v>
                </c:pt>
                <c:pt idx="1">
                  <c:v>0.9</c:v>
                </c:pt>
                <c:pt idx="2">
                  <c:v>1</c:v>
                </c:pt>
                <c:pt idx="3">
                  <c:v>1.1</c:v>
                </c:pt>
                <c:pt idx="4">
                  <c:v>1.2</c:v>
                </c:pt>
                <c:pt idx="5">
                  <c:v>1.6</c:v>
                </c:pt>
                <c:pt idx="6">
                  <c:v>1.7</c:v>
                </c:pt>
                <c:pt idx="7">
                  <c:v>1.8</c:v>
                </c:pt>
                <c:pt idx="8">
                  <c:v>1.9</c:v>
                </c:pt>
                <c:pt idx="9">
                  <c:v>2.5</c:v>
                </c:pt>
                <c:pt idx="10">
                  <c:v>2.8</c:v>
                </c:pt>
                <c:pt idx="11">
                  <c:v>2.9</c:v>
                </c:pt>
                <c:pt idx="12">
                  <c:v>3.1</c:v>
                </c:pt>
                <c:pt idx="13">
                  <c:v>3.3</c:v>
                </c:pt>
                <c:pt idx="14">
                  <c:v>3.5</c:v>
                </c:pt>
                <c:pt idx="15">
                  <c:v>3.8</c:v>
                </c:pt>
                <c:pt idx="16">
                  <c:v>3.9</c:v>
                </c:pt>
                <c:pt idx="17">
                  <c:v>4</c:v>
                </c:pt>
                <c:pt idx="18">
                  <c:v>4.1</c:v>
                </c:pt>
                <c:pt idx="19">
                  <c:v>4.3</c:v>
                </c:pt>
                <c:pt idx="20">
                  <c:v>4.4</c:v>
                </c:pt>
                <c:pt idx="21">
                  <c:v>5</c:v>
                </c:pt>
                <c:pt idx="22">
                  <c:v>5.1</c:v>
                </c:pt>
                <c:pt idx="23">
                  <c:v>5.5</c:v>
                </c:pt>
                <c:pt idx="24">
                  <c:v>6.1</c:v>
                </c:pt>
                <c:pt idx="25">
                  <c:v>6.2</c:v>
                </c:pt>
                <c:pt idx="26">
                  <c:v>6.3</c:v>
                </c:pt>
                <c:pt idx="27">
                  <c:v>6.4</c:v>
                </c:pt>
                <c:pt idx="28">
                  <c:v>7</c:v>
                </c:pt>
                <c:pt idx="29">
                  <c:v>7.4</c:v>
                </c:pt>
                <c:pt idx="30">
                  <c:v>7.6</c:v>
                </c:pt>
                <c:pt idx="31">
                  <c:v>7.7</c:v>
                </c:pt>
                <c:pt idx="32">
                  <c:v>7.9</c:v>
                </c:pt>
                <c:pt idx="33">
                  <c:v>8.3</c:v>
                </c:pt>
                <c:pt idx="34">
                  <c:v>8.4</c:v>
                </c:pt>
                <c:pt idx="35">
                  <c:v>8.9</c:v>
                </c:pt>
                <c:pt idx="36">
                  <c:v>9</c:v>
                </c:pt>
                <c:pt idx="37">
                  <c:v>9.3</c:v>
                </c:pt>
                <c:pt idx="38">
                  <c:v>9.4</c:v>
                </c:pt>
                <c:pt idx="39">
                  <c:v>9.6</c:v>
                </c:pt>
                <c:pt idx="40">
                  <c:v>9.9</c:v>
                </c:pt>
                <c:pt idx="41">
                  <c:v>10</c:v>
                </c:pt>
              </c:strCache>
            </c:strRef>
          </c:cat>
          <c:val>
            <c:numRef>
              <c:f>'Pivot Table'!$C$18:$C$60</c:f>
              <c:numCache>
                <c:formatCode>General</c:formatCode>
                <c:ptCount val="42"/>
                <c:pt idx="13">
                  <c:v>86865</c:v>
                </c:pt>
                <c:pt idx="21">
                  <c:v>62524</c:v>
                </c:pt>
                <c:pt idx="28">
                  <c:v>77359</c:v>
                </c:pt>
                <c:pt idx="29">
                  <c:v>56552</c:v>
                </c:pt>
                <c:pt idx="34">
                  <c:v>64283</c:v>
                </c:pt>
                <c:pt idx="35">
                  <c:v>43609</c:v>
                </c:pt>
                <c:pt idx="37">
                  <c:v>35145</c:v>
                </c:pt>
              </c:numCache>
            </c:numRef>
          </c:val>
          <c:extLst>
            <c:ext xmlns:c16="http://schemas.microsoft.com/office/drawing/2014/chart" uri="{C3380CC4-5D6E-409C-BE32-E72D297353CC}">
              <c16:uniqueId val="{00000006-219A-4D75-9D74-8EFDF8A1BF9A}"/>
            </c:ext>
          </c:extLst>
        </c:ser>
        <c:ser>
          <c:idx val="2"/>
          <c:order val="2"/>
          <c:tx>
            <c:strRef>
              <c:f>'Pivot Table'!$D$16:$D$17</c:f>
              <c:strCache>
                <c:ptCount val="1"/>
                <c:pt idx="0">
                  <c:v>3</c:v>
                </c:pt>
              </c:strCache>
            </c:strRef>
          </c:tx>
          <c:spPr>
            <a:solidFill>
              <a:schemeClr val="accent3"/>
            </a:solidFill>
            <a:ln>
              <a:noFill/>
            </a:ln>
            <a:effectLst/>
            <a:sp3d/>
          </c:spPr>
          <c:invertIfNegative val="0"/>
          <c:cat>
            <c:strRef>
              <c:f>'Pivot Table'!$A$18:$A$60</c:f>
              <c:strCache>
                <c:ptCount val="42"/>
                <c:pt idx="0">
                  <c:v>0.8</c:v>
                </c:pt>
                <c:pt idx="1">
                  <c:v>0.9</c:v>
                </c:pt>
                <c:pt idx="2">
                  <c:v>1</c:v>
                </c:pt>
                <c:pt idx="3">
                  <c:v>1.1</c:v>
                </c:pt>
                <c:pt idx="4">
                  <c:v>1.2</c:v>
                </c:pt>
                <c:pt idx="5">
                  <c:v>1.6</c:v>
                </c:pt>
                <c:pt idx="6">
                  <c:v>1.7</c:v>
                </c:pt>
                <c:pt idx="7">
                  <c:v>1.8</c:v>
                </c:pt>
                <c:pt idx="8">
                  <c:v>1.9</c:v>
                </c:pt>
                <c:pt idx="9">
                  <c:v>2.5</c:v>
                </c:pt>
                <c:pt idx="10">
                  <c:v>2.8</c:v>
                </c:pt>
                <c:pt idx="11">
                  <c:v>2.9</c:v>
                </c:pt>
                <c:pt idx="12">
                  <c:v>3.1</c:v>
                </c:pt>
                <c:pt idx="13">
                  <c:v>3.3</c:v>
                </c:pt>
                <c:pt idx="14">
                  <c:v>3.5</c:v>
                </c:pt>
                <c:pt idx="15">
                  <c:v>3.8</c:v>
                </c:pt>
                <c:pt idx="16">
                  <c:v>3.9</c:v>
                </c:pt>
                <c:pt idx="17">
                  <c:v>4</c:v>
                </c:pt>
                <c:pt idx="18">
                  <c:v>4.1</c:v>
                </c:pt>
                <c:pt idx="19">
                  <c:v>4.3</c:v>
                </c:pt>
                <c:pt idx="20">
                  <c:v>4.4</c:v>
                </c:pt>
                <c:pt idx="21">
                  <c:v>5</c:v>
                </c:pt>
                <c:pt idx="22">
                  <c:v>5.1</c:v>
                </c:pt>
                <c:pt idx="23">
                  <c:v>5.5</c:v>
                </c:pt>
                <c:pt idx="24">
                  <c:v>6.1</c:v>
                </c:pt>
                <c:pt idx="25">
                  <c:v>6.2</c:v>
                </c:pt>
                <c:pt idx="26">
                  <c:v>6.3</c:v>
                </c:pt>
                <c:pt idx="27">
                  <c:v>6.4</c:v>
                </c:pt>
                <c:pt idx="28">
                  <c:v>7</c:v>
                </c:pt>
                <c:pt idx="29">
                  <c:v>7.4</c:v>
                </c:pt>
                <c:pt idx="30">
                  <c:v>7.6</c:v>
                </c:pt>
                <c:pt idx="31">
                  <c:v>7.7</c:v>
                </c:pt>
                <c:pt idx="32">
                  <c:v>7.9</c:v>
                </c:pt>
                <c:pt idx="33">
                  <c:v>8.3</c:v>
                </c:pt>
                <c:pt idx="34">
                  <c:v>8.4</c:v>
                </c:pt>
                <c:pt idx="35">
                  <c:v>8.9</c:v>
                </c:pt>
                <c:pt idx="36">
                  <c:v>9</c:v>
                </c:pt>
                <c:pt idx="37">
                  <c:v>9.3</c:v>
                </c:pt>
                <c:pt idx="38">
                  <c:v>9.4</c:v>
                </c:pt>
                <c:pt idx="39">
                  <c:v>9.6</c:v>
                </c:pt>
                <c:pt idx="40">
                  <c:v>9.9</c:v>
                </c:pt>
                <c:pt idx="41">
                  <c:v>10</c:v>
                </c:pt>
              </c:strCache>
            </c:strRef>
          </c:cat>
          <c:val>
            <c:numRef>
              <c:f>'Pivot Table'!$D$18:$D$60</c:f>
              <c:numCache>
                <c:formatCode>General</c:formatCode>
                <c:ptCount val="42"/>
                <c:pt idx="2">
                  <c:v>103723</c:v>
                </c:pt>
                <c:pt idx="3">
                  <c:v>113523</c:v>
                </c:pt>
                <c:pt idx="4">
                  <c:v>91056</c:v>
                </c:pt>
                <c:pt idx="5">
                  <c:v>113152</c:v>
                </c:pt>
                <c:pt idx="15">
                  <c:v>59780</c:v>
                </c:pt>
                <c:pt idx="16">
                  <c:v>40185</c:v>
                </c:pt>
                <c:pt idx="17">
                  <c:v>113987</c:v>
                </c:pt>
                <c:pt idx="18">
                  <c:v>64210</c:v>
                </c:pt>
                <c:pt idx="25">
                  <c:v>25328</c:v>
                </c:pt>
                <c:pt idx="26">
                  <c:v>28537</c:v>
                </c:pt>
                <c:pt idx="27">
                  <c:v>55924</c:v>
                </c:pt>
                <c:pt idx="30">
                  <c:v>81286</c:v>
                </c:pt>
                <c:pt idx="33">
                  <c:v>103084</c:v>
                </c:pt>
                <c:pt idx="36">
                  <c:v>81679</c:v>
                </c:pt>
              </c:numCache>
            </c:numRef>
          </c:val>
          <c:extLst>
            <c:ext xmlns:c16="http://schemas.microsoft.com/office/drawing/2014/chart" uri="{C3380CC4-5D6E-409C-BE32-E72D297353CC}">
              <c16:uniqueId val="{00000007-219A-4D75-9D74-8EFDF8A1BF9A}"/>
            </c:ext>
          </c:extLst>
        </c:ser>
        <c:ser>
          <c:idx val="3"/>
          <c:order val="3"/>
          <c:tx>
            <c:strRef>
              <c:f>'Pivot Table'!$E$16:$E$17</c:f>
              <c:strCache>
                <c:ptCount val="1"/>
                <c:pt idx="0">
                  <c:v>4</c:v>
                </c:pt>
              </c:strCache>
            </c:strRef>
          </c:tx>
          <c:spPr>
            <a:solidFill>
              <a:schemeClr val="accent4"/>
            </a:solidFill>
            <a:ln>
              <a:noFill/>
            </a:ln>
            <a:effectLst/>
            <a:sp3d/>
          </c:spPr>
          <c:invertIfNegative val="0"/>
          <c:cat>
            <c:strRef>
              <c:f>'Pivot Table'!$A$18:$A$60</c:f>
              <c:strCache>
                <c:ptCount val="42"/>
                <c:pt idx="0">
                  <c:v>0.8</c:v>
                </c:pt>
                <c:pt idx="1">
                  <c:v>0.9</c:v>
                </c:pt>
                <c:pt idx="2">
                  <c:v>1</c:v>
                </c:pt>
                <c:pt idx="3">
                  <c:v>1.1</c:v>
                </c:pt>
                <c:pt idx="4">
                  <c:v>1.2</c:v>
                </c:pt>
                <c:pt idx="5">
                  <c:v>1.6</c:v>
                </c:pt>
                <c:pt idx="6">
                  <c:v>1.7</c:v>
                </c:pt>
                <c:pt idx="7">
                  <c:v>1.8</c:v>
                </c:pt>
                <c:pt idx="8">
                  <c:v>1.9</c:v>
                </c:pt>
                <c:pt idx="9">
                  <c:v>2.5</c:v>
                </c:pt>
                <c:pt idx="10">
                  <c:v>2.8</c:v>
                </c:pt>
                <c:pt idx="11">
                  <c:v>2.9</c:v>
                </c:pt>
                <c:pt idx="12">
                  <c:v>3.1</c:v>
                </c:pt>
                <c:pt idx="13">
                  <c:v>3.3</c:v>
                </c:pt>
                <c:pt idx="14">
                  <c:v>3.5</c:v>
                </c:pt>
                <c:pt idx="15">
                  <c:v>3.8</c:v>
                </c:pt>
                <c:pt idx="16">
                  <c:v>3.9</c:v>
                </c:pt>
                <c:pt idx="17">
                  <c:v>4</c:v>
                </c:pt>
                <c:pt idx="18">
                  <c:v>4.1</c:v>
                </c:pt>
                <c:pt idx="19">
                  <c:v>4.3</c:v>
                </c:pt>
                <c:pt idx="20">
                  <c:v>4.4</c:v>
                </c:pt>
                <c:pt idx="21">
                  <c:v>5</c:v>
                </c:pt>
                <c:pt idx="22">
                  <c:v>5.1</c:v>
                </c:pt>
                <c:pt idx="23">
                  <c:v>5.5</c:v>
                </c:pt>
                <c:pt idx="24">
                  <c:v>6.1</c:v>
                </c:pt>
                <c:pt idx="25">
                  <c:v>6.2</c:v>
                </c:pt>
                <c:pt idx="26">
                  <c:v>6.3</c:v>
                </c:pt>
                <c:pt idx="27">
                  <c:v>6.4</c:v>
                </c:pt>
                <c:pt idx="28">
                  <c:v>7</c:v>
                </c:pt>
                <c:pt idx="29">
                  <c:v>7.4</c:v>
                </c:pt>
                <c:pt idx="30">
                  <c:v>7.6</c:v>
                </c:pt>
                <c:pt idx="31">
                  <c:v>7.7</c:v>
                </c:pt>
                <c:pt idx="32">
                  <c:v>7.9</c:v>
                </c:pt>
                <c:pt idx="33">
                  <c:v>8.3</c:v>
                </c:pt>
                <c:pt idx="34">
                  <c:v>8.4</c:v>
                </c:pt>
                <c:pt idx="35">
                  <c:v>8.9</c:v>
                </c:pt>
                <c:pt idx="36">
                  <c:v>9</c:v>
                </c:pt>
                <c:pt idx="37">
                  <c:v>9.3</c:v>
                </c:pt>
                <c:pt idx="38">
                  <c:v>9.4</c:v>
                </c:pt>
                <c:pt idx="39">
                  <c:v>9.6</c:v>
                </c:pt>
                <c:pt idx="40">
                  <c:v>9.9</c:v>
                </c:pt>
                <c:pt idx="41">
                  <c:v>10</c:v>
                </c:pt>
              </c:strCache>
            </c:strRef>
          </c:cat>
          <c:val>
            <c:numRef>
              <c:f>'Pivot Table'!$E$18:$E$60</c:f>
              <c:numCache>
                <c:formatCode>General</c:formatCode>
                <c:ptCount val="42"/>
                <c:pt idx="0">
                  <c:v>34824</c:v>
                </c:pt>
                <c:pt idx="8">
                  <c:v>44583</c:v>
                </c:pt>
                <c:pt idx="10">
                  <c:v>28317</c:v>
                </c:pt>
                <c:pt idx="14">
                  <c:v>109529</c:v>
                </c:pt>
                <c:pt idx="20">
                  <c:v>117145</c:v>
                </c:pt>
                <c:pt idx="24">
                  <c:v>71146</c:v>
                </c:pt>
                <c:pt idx="30">
                  <c:v>107320</c:v>
                </c:pt>
                <c:pt idx="31">
                  <c:v>110138</c:v>
                </c:pt>
                <c:pt idx="41">
                  <c:v>44575</c:v>
                </c:pt>
              </c:numCache>
            </c:numRef>
          </c:val>
          <c:extLst>
            <c:ext xmlns:c16="http://schemas.microsoft.com/office/drawing/2014/chart" uri="{C3380CC4-5D6E-409C-BE32-E72D297353CC}">
              <c16:uniqueId val="{00000008-219A-4D75-9D74-8EFDF8A1BF9A}"/>
            </c:ext>
          </c:extLst>
        </c:ser>
        <c:ser>
          <c:idx val="4"/>
          <c:order val="4"/>
          <c:tx>
            <c:strRef>
              <c:f>'Pivot Table'!$F$16:$F$17</c:f>
              <c:strCache>
                <c:ptCount val="1"/>
                <c:pt idx="0">
                  <c:v>5</c:v>
                </c:pt>
              </c:strCache>
            </c:strRef>
          </c:tx>
          <c:spPr>
            <a:solidFill>
              <a:schemeClr val="accent5"/>
            </a:solidFill>
            <a:ln>
              <a:noFill/>
            </a:ln>
            <a:effectLst/>
            <a:sp3d/>
          </c:spPr>
          <c:invertIfNegative val="0"/>
          <c:cat>
            <c:strRef>
              <c:f>'Pivot Table'!$A$18:$A$60</c:f>
              <c:strCache>
                <c:ptCount val="42"/>
                <c:pt idx="0">
                  <c:v>0.8</c:v>
                </c:pt>
                <c:pt idx="1">
                  <c:v>0.9</c:v>
                </c:pt>
                <c:pt idx="2">
                  <c:v>1</c:v>
                </c:pt>
                <c:pt idx="3">
                  <c:v>1.1</c:v>
                </c:pt>
                <c:pt idx="4">
                  <c:v>1.2</c:v>
                </c:pt>
                <c:pt idx="5">
                  <c:v>1.6</c:v>
                </c:pt>
                <c:pt idx="6">
                  <c:v>1.7</c:v>
                </c:pt>
                <c:pt idx="7">
                  <c:v>1.8</c:v>
                </c:pt>
                <c:pt idx="8">
                  <c:v>1.9</c:v>
                </c:pt>
                <c:pt idx="9">
                  <c:v>2.5</c:v>
                </c:pt>
                <c:pt idx="10">
                  <c:v>2.8</c:v>
                </c:pt>
                <c:pt idx="11">
                  <c:v>2.9</c:v>
                </c:pt>
                <c:pt idx="12">
                  <c:v>3.1</c:v>
                </c:pt>
                <c:pt idx="13">
                  <c:v>3.3</c:v>
                </c:pt>
                <c:pt idx="14">
                  <c:v>3.5</c:v>
                </c:pt>
                <c:pt idx="15">
                  <c:v>3.8</c:v>
                </c:pt>
                <c:pt idx="16">
                  <c:v>3.9</c:v>
                </c:pt>
                <c:pt idx="17">
                  <c:v>4</c:v>
                </c:pt>
                <c:pt idx="18">
                  <c:v>4.1</c:v>
                </c:pt>
                <c:pt idx="19">
                  <c:v>4.3</c:v>
                </c:pt>
                <c:pt idx="20">
                  <c:v>4.4</c:v>
                </c:pt>
                <c:pt idx="21">
                  <c:v>5</c:v>
                </c:pt>
                <c:pt idx="22">
                  <c:v>5.1</c:v>
                </c:pt>
                <c:pt idx="23">
                  <c:v>5.5</c:v>
                </c:pt>
                <c:pt idx="24">
                  <c:v>6.1</c:v>
                </c:pt>
                <c:pt idx="25">
                  <c:v>6.2</c:v>
                </c:pt>
                <c:pt idx="26">
                  <c:v>6.3</c:v>
                </c:pt>
                <c:pt idx="27">
                  <c:v>6.4</c:v>
                </c:pt>
                <c:pt idx="28">
                  <c:v>7</c:v>
                </c:pt>
                <c:pt idx="29">
                  <c:v>7.4</c:v>
                </c:pt>
                <c:pt idx="30">
                  <c:v>7.6</c:v>
                </c:pt>
                <c:pt idx="31">
                  <c:v>7.7</c:v>
                </c:pt>
                <c:pt idx="32">
                  <c:v>7.9</c:v>
                </c:pt>
                <c:pt idx="33">
                  <c:v>8.3</c:v>
                </c:pt>
                <c:pt idx="34">
                  <c:v>8.4</c:v>
                </c:pt>
                <c:pt idx="35">
                  <c:v>8.9</c:v>
                </c:pt>
                <c:pt idx="36">
                  <c:v>9</c:v>
                </c:pt>
                <c:pt idx="37">
                  <c:v>9.3</c:v>
                </c:pt>
                <c:pt idx="38">
                  <c:v>9.4</c:v>
                </c:pt>
                <c:pt idx="39">
                  <c:v>9.6</c:v>
                </c:pt>
                <c:pt idx="40">
                  <c:v>9.9</c:v>
                </c:pt>
                <c:pt idx="41">
                  <c:v>10</c:v>
                </c:pt>
              </c:strCache>
            </c:strRef>
          </c:cat>
          <c:val>
            <c:numRef>
              <c:f>'Pivot Table'!$F$18:$F$60</c:f>
              <c:numCache>
                <c:formatCode>General</c:formatCode>
                <c:ptCount val="42"/>
                <c:pt idx="9">
                  <c:v>98109</c:v>
                </c:pt>
                <c:pt idx="10">
                  <c:v>67083</c:v>
                </c:pt>
                <c:pt idx="12">
                  <c:v>37750</c:v>
                </c:pt>
                <c:pt idx="23">
                  <c:v>70717</c:v>
                </c:pt>
                <c:pt idx="29">
                  <c:v>60988</c:v>
                </c:pt>
                <c:pt idx="32">
                  <c:v>77217</c:v>
                </c:pt>
                <c:pt idx="35">
                  <c:v>111683</c:v>
                </c:pt>
                <c:pt idx="37">
                  <c:v>74528</c:v>
                </c:pt>
                <c:pt idx="38">
                  <c:v>78774</c:v>
                </c:pt>
                <c:pt idx="39">
                  <c:v>106041</c:v>
                </c:pt>
              </c:numCache>
            </c:numRef>
          </c:val>
          <c:extLst>
            <c:ext xmlns:c16="http://schemas.microsoft.com/office/drawing/2014/chart" uri="{C3380CC4-5D6E-409C-BE32-E72D297353CC}">
              <c16:uniqueId val="{00000009-219A-4D75-9D74-8EFDF8A1BF9A}"/>
            </c:ext>
          </c:extLst>
        </c:ser>
        <c:dLbls>
          <c:showLegendKey val="0"/>
          <c:showVal val="0"/>
          <c:showCatName val="0"/>
          <c:showSerName val="0"/>
          <c:showPercent val="0"/>
          <c:showBubbleSize val="0"/>
        </c:dLbls>
        <c:gapWidth val="150"/>
        <c:shape val="box"/>
        <c:axId val="215861120"/>
        <c:axId val="215859200"/>
        <c:axId val="2055302368"/>
      </c:bar3DChart>
      <c:catAx>
        <c:axId val="21586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59200"/>
        <c:crosses val="autoZero"/>
        <c:auto val="1"/>
        <c:lblAlgn val="ctr"/>
        <c:lblOffset val="100"/>
        <c:noMultiLvlLbl val="0"/>
      </c:catAx>
      <c:valAx>
        <c:axId val="21585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61120"/>
        <c:crosses val="autoZero"/>
        <c:crossBetween val="between"/>
      </c:valAx>
      <c:serAx>
        <c:axId val="20553023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8592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[Corporate_Industry_Dataset.xlsx]Pivot Table!PivotTable3</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Table'!$B$65:$B$66</c:f>
              <c:strCache>
                <c:ptCount val="1"/>
                <c:pt idx="0">
                  <c:v>Hybrid</c:v>
                </c:pt>
              </c:strCache>
            </c:strRef>
          </c:tx>
          <c:spPr>
            <a:solidFill>
              <a:schemeClr val="accent1"/>
            </a:solidFill>
            <a:ln>
              <a:noFill/>
            </a:ln>
            <a:effectLst/>
            <a:sp3d/>
          </c:spPr>
          <c:invertIfNegative val="0"/>
          <c:cat>
            <c:strRef>
              <c:f>'Pivot Table'!$A$67:$A$71</c:f>
              <c:strCache>
                <c:ptCount val="4"/>
                <c:pt idx="0">
                  <c:v>A. Desai</c:v>
                </c:pt>
                <c:pt idx="1">
                  <c:v>P. Rao</c:v>
                </c:pt>
                <c:pt idx="2">
                  <c:v>R. Malhotra</c:v>
                </c:pt>
                <c:pt idx="3">
                  <c:v>S. Khanna</c:v>
                </c:pt>
              </c:strCache>
            </c:strRef>
          </c:cat>
          <c:val>
            <c:numRef>
              <c:f>'Pivot Table'!$B$67:$B$71</c:f>
              <c:numCache>
                <c:formatCode>General</c:formatCode>
                <c:ptCount val="4"/>
                <c:pt idx="0">
                  <c:v>5</c:v>
                </c:pt>
                <c:pt idx="1">
                  <c:v>4</c:v>
                </c:pt>
                <c:pt idx="2">
                  <c:v>1</c:v>
                </c:pt>
                <c:pt idx="3">
                  <c:v>4</c:v>
                </c:pt>
              </c:numCache>
            </c:numRef>
          </c:val>
          <c:extLst>
            <c:ext xmlns:c16="http://schemas.microsoft.com/office/drawing/2014/chart" uri="{C3380CC4-5D6E-409C-BE32-E72D297353CC}">
              <c16:uniqueId val="{00000000-D350-404D-8205-7266E7C86357}"/>
            </c:ext>
          </c:extLst>
        </c:ser>
        <c:ser>
          <c:idx val="1"/>
          <c:order val="1"/>
          <c:tx>
            <c:strRef>
              <c:f>'Pivot Table'!$C$65:$C$66</c:f>
              <c:strCache>
                <c:ptCount val="1"/>
                <c:pt idx="0">
                  <c:v>Onsite</c:v>
                </c:pt>
              </c:strCache>
            </c:strRef>
          </c:tx>
          <c:spPr>
            <a:solidFill>
              <a:schemeClr val="accent2"/>
            </a:solidFill>
            <a:ln>
              <a:noFill/>
            </a:ln>
            <a:effectLst/>
            <a:sp3d/>
          </c:spPr>
          <c:invertIfNegative val="0"/>
          <c:cat>
            <c:strRef>
              <c:f>'Pivot Table'!$A$67:$A$71</c:f>
              <c:strCache>
                <c:ptCount val="4"/>
                <c:pt idx="0">
                  <c:v>A. Desai</c:v>
                </c:pt>
                <c:pt idx="1">
                  <c:v>P. Rao</c:v>
                </c:pt>
                <c:pt idx="2">
                  <c:v>R. Malhotra</c:v>
                </c:pt>
                <c:pt idx="3">
                  <c:v>S. Khanna</c:v>
                </c:pt>
              </c:strCache>
            </c:strRef>
          </c:cat>
          <c:val>
            <c:numRef>
              <c:f>'Pivot Table'!$C$67:$C$71</c:f>
              <c:numCache>
                <c:formatCode>General</c:formatCode>
                <c:ptCount val="4"/>
                <c:pt idx="0">
                  <c:v>7</c:v>
                </c:pt>
                <c:pt idx="1">
                  <c:v>7</c:v>
                </c:pt>
                <c:pt idx="2">
                  <c:v>9</c:v>
                </c:pt>
                <c:pt idx="3">
                  <c:v>2</c:v>
                </c:pt>
              </c:numCache>
            </c:numRef>
          </c:val>
          <c:extLst>
            <c:ext xmlns:c16="http://schemas.microsoft.com/office/drawing/2014/chart" uri="{C3380CC4-5D6E-409C-BE32-E72D297353CC}">
              <c16:uniqueId val="{00000004-D350-404D-8205-7266E7C86357}"/>
            </c:ext>
          </c:extLst>
        </c:ser>
        <c:ser>
          <c:idx val="2"/>
          <c:order val="2"/>
          <c:tx>
            <c:strRef>
              <c:f>'Pivot Table'!$D$65:$D$66</c:f>
              <c:strCache>
                <c:ptCount val="1"/>
                <c:pt idx="0">
                  <c:v>Remote</c:v>
                </c:pt>
              </c:strCache>
            </c:strRef>
          </c:tx>
          <c:spPr>
            <a:solidFill>
              <a:schemeClr val="accent3"/>
            </a:solidFill>
            <a:ln>
              <a:noFill/>
            </a:ln>
            <a:effectLst/>
            <a:sp3d/>
          </c:spPr>
          <c:invertIfNegative val="0"/>
          <c:cat>
            <c:strRef>
              <c:f>'Pivot Table'!$A$67:$A$71</c:f>
              <c:strCache>
                <c:ptCount val="4"/>
                <c:pt idx="0">
                  <c:v>A. Desai</c:v>
                </c:pt>
                <c:pt idx="1">
                  <c:v>P. Rao</c:v>
                </c:pt>
                <c:pt idx="2">
                  <c:v>R. Malhotra</c:v>
                </c:pt>
                <c:pt idx="3">
                  <c:v>S. Khanna</c:v>
                </c:pt>
              </c:strCache>
            </c:strRef>
          </c:cat>
          <c:val>
            <c:numRef>
              <c:f>'Pivot Table'!$D$67:$D$71</c:f>
              <c:numCache>
                <c:formatCode>General</c:formatCode>
                <c:ptCount val="4"/>
                <c:pt idx="0">
                  <c:v>2</c:v>
                </c:pt>
                <c:pt idx="1">
                  <c:v>2</c:v>
                </c:pt>
                <c:pt idx="2">
                  <c:v>4</c:v>
                </c:pt>
                <c:pt idx="3">
                  <c:v>3</c:v>
                </c:pt>
              </c:numCache>
            </c:numRef>
          </c:val>
          <c:extLst>
            <c:ext xmlns:c16="http://schemas.microsoft.com/office/drawing/2014/chart" uri="{C3380CC4-5D6E-409C-BE32-E72D297353CC}">
              <c16:uniqueId val="{00000005-D350-404D-8205-7266E7C86357}"/>
            </c:ext>
          </c:extLst>
        </c:ser>
        <c:dLbls>
          <c:showLegendKey val="0"/>
          <c:showVal val="0"/>
          <c:showCatName val="0"/>
          <c:showSerName val="0"/>
          <c:showPercent val="0"/>
          <c:showBubbleSize val="0"/>
        </c:dLbls>
        <c:gapWidth val="150"/>
        <c:shape val="box"/>
        <c:axId val="121768736"/>
        <c:axId val="121778336"/>
        <c:axId val="0"/>
      </c:bar3DChart>
      <c:catAx>
        <c:axId val="121768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78336"/>
        <c:crosses val="autoZero"/>
        <c:auto val="1"/>
        <c:lblAlgn val="ctr"/>
        <c:lblOffset val="100"/>
        <c:noMultiLvlLbl val="0"/>
      </c:catAx>
      <c:valAx>
        <c:axId val="12177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6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[Corporate_Industry_Dataset.xlsx]Pivot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Table'!$B$75:$B$76</c:f>
              <c:strCache>
                <c:ptCount val="1"/>
                <c:pt idx="0">
                  <c:v>Contract</c:v>
                </c:pt>
              </c:strCache>
            </c:strRef>
          </c:tx>
          <c:spPr>
            <a:solidFill>
              <a:schemeClr val="accent1"/>
            </a:solidFill>
            <a:ln>
              <a:noFill/>
            </a:ln>
            <a:effectLst/>
          </c:spPr>
          <c:invertIfNegative val="0"/>
          <c:cat>
            <c:strRef>
              <c:f>'Pivot Table'!$A$77:$A$84</c:f>
              <c:strCache>
                <c:ptCount val="7"/>
                <c:pt idx="0">
                  <c:v>Admin</c:v>
                </c:pt>
                <c:pt idx="1">
                  <c:v>Finance</c:v>
                </c:pt>
                <c:pt idx="2">
                  <c:v>HR</c:v>
                </c:pt>
                <c:pt idx="3">
                  <c:v>IT</c:v>
                </c:pt>
                <c:pt idx="4">
                  <c:v>Marketing</c:v>
                </c:pt>
                <c:pt idx="5">
                  <c:v>Operations</c:v>
                </c:pt>
                <c:pt idx="6">
                  <c:v>Sales</c:v>
                </c:pt>
              </c:strCache>
            </c:strRef>
          </c:cat>
          <c:val>
            <c:numRef>
              <c:f>'Pivot Table'!$B$77:$B$84</c:f>
              <c:numCache>
                <c:formatCode>General</c:formatCode>
                <c:ptCount val="7"/>
                <c:pt idx="0">
                  <c:v>1</c:v>
                </c:pt>
                <c:pt idx="1">
                  <c:v>2</c:v>
                </c:pt>
                <c:pt idx="2">
                  <c:v>3</c:v>
                </c:pt>
                <c:pt idx="3">
                  <c:v>1</c:v>
                </c:pt>
                <c:pt idx="5">
                  <c:v>2</c:v>
                </c:pt>
                <c:pt idx="6">
                  <c:v>2</c:v>
                </c:pt>
              </c:numCache>
            </c:numRef>
          </c:val>
          <c:extLst>
            <c:ext xmlns:c16="http://schemas.microsoft.com/office/drawing/2014/chart" uri="{C3380CC4-5D6E-409C-BE32-E72D297353CC}">
              <c16:uniqueId val="{00000000-3BC4-43FB-A464-997740B9F530}"/>
            </c:ext>
          </c:extLst>
        </c:ser>
        <c:ser>
          <c:idx val="1"/>
          <c:order val="1"/>
          <c:tx>
            <c:strRef>
              <c:f>'Pivot Table'!$C$75:$C$76</c:f>
              <c:strCache>
                <c:ptCount val="1"/>
                <c:pt idx="0">
                  <c:v>Full-Time</c:v>
                </c:pt>
              </c:strCache>
            </c:strRef>
          </c:tx>
          <c:spPr>
            <a:solidFill>
              <a:schemeClr val="accent2"/>
            </a:solidFill>
            <a:ln>
              <a:noFill/>
            </a:ln>
            <a:effectLst/>
          </c:spPr>
          <c:invertIfNegative val="0"/>
          <c:cat>
            <c:strRef>
              <c:f>'Pivot Table'!$A$77:$A$84</c:f>
              <c:strCache>
                <c:ptCount val="7"/>
                <c:pt idx="0">
                  <c:v>Admin</c:v>
                </c:pt>
                <c:pt idx="1">
                  <c:v>Finance</c:v>
                </c:pt>
                <c:pt idx="2">
                  <c:v>HR</c:v>
                </c:pt>
                <c:pt idx="3">
                  <c:v>IT</c:v>
                </c:pt>
                <c:pt idx="4">
                  <c:v>Marketing</c:v>
                </c:pt>
                <c:pt idx="5">
                  <c:v>Operations</c:v>
                </c:pt>
                <c:pt idx="6">
                  <c:v>Sales</c:v>
                </c:pt>
              </c:strCache>
            </c:strRef>
          </c:cat>
          <c:val>
            <c:numRef>
              <c:f>'Pivot Table'!$C$77:$C$84</c:f>
              <c:numCache>
                <c:formatCode>General</c:formatCode>
                <c:ptCount val="7"/>
                <c:pt idx="0">
                  <c:v>5</c:v>
                </c:pt>
                <c:pt idx="1">
                  <c:v>1</c:v>
                </c:pt>
                <c:pt idx="2">
                  <c:v>3</c:v>
                </c:pt>
                <c:pt idx="3">
                  <c:v>6</c:v>
                </c:pt>
                <c:pt idx="4">
                  <c:v>1</c:v>
                </c:pt>
                <c:pt idx="5">
                  <c:v>4</c:v>
                </c:pt>
                <c:pt idx="6">
                  <c:v>4</c:v>
                </c:pt>
              </c:numCache>
            </c:numRef>
          </c:val>
          <c:extLst>
            <c:ext xmlns:c16="http://schemas.microsoft.com/office/drawing/2014/chart" uri="{C3380CC4-5D6E-409C-BE32-E72D297353CC}">
              <c16:uniqueId val="{00000007-3BC4-43FB-A464-997740B9F530}"/>
            </c:ext>
          </c:extLst>
        </c:ser>
        <c:ser>
          <c:idx val="2"/>
          <c:order val="2"/>
          <c:tx>
            <c:strRef>
              <c:f>'Pivot Table'!$D$75:$D$76</c:f>
              <c:strCache>
                <c:ptCount val="1"/>
                <c:pt idx="0">
                  <c:v>Intern</c:v>
                </c:pt>
              </c:strCache>
            </c:strRef>
          </c:tx>
          <c:spPr>
            <a:solidFill>
              <a:schemeClr val="accent3"/>
            </a:solidFill>
            <a:ln>
              <a:noFill/>
            </a:ln>
            <a:effectLst/>
          </c:spPr>
          <c:invertIfNegative val="0"/>
          <c:cat>
            <c:strRef>
              <c:f>'Pivot Table'!$A$77:$A$84</c:f>
              <c:strCache>
                <c:ptCount val="7"/>
                <c:pt idx="0">
                  <c:v>Admin</c:v>
                </c:pt>
                <c:pt idx="1">
                  <c:v>Finance</c:v>
                </c:pt>
                <c:pt idx="2">
                  <c:v>HR</c:v>
                </c:pt>
                <c:pt idx="3">
                  <c:v>IT</c:v>
                </c:pt>
                <c:pt idx="4">
                  <c:v>Marketing</c:v>
                </c:pt>
                <c:pt idx="5">
                  <c:v>Operations</c:v>
                </c:pt>
                <c:pt idx="6">
                  <c:v>Sales</c:v>
                </c:pt>
              </c:strCache>
            </c:strRef>
          </c:cat>
          <c:val>
            <c:numRef>
              <c:f>'Pivot Table'!$D$77:$D$84</c:f>
              <c:numCache>
                <c:formatCode>General</c:formatCode>
                <c:ptCount val="7"/>
                <c:pt idx="0">
                  <c:v>2</c:v>
                </c:pt>
                <c:pt idx="1">
                  <c:v>2</c:v>
                </c:pt>
                <c:pt idx="2">
                  <c:v>2</c:v>
                </c:pt>
                <c:pt idx="3">
                  <c:v>1</c:v>
                </c:pt>
                <c:pt idx="4">
                  <c:v>6</c:v>
                </c:pt>
                <c:pt idx="6">
                  <c:v>2</c:v>
                </c:pt>
              </c:numCache>
            </c:numRef>
          </c:val>
          <c:extLst>
            <c:ext xmlns:c16="http://schemas.microsoft.com/office/drawing/2014/chart" uri="{C3380CC4-5D6E-409C-BE32-E72D297353CC}">
              <c16:uniqueId val="{00000008-3BC4-43FB-A464-997740B9F530}"/>
            </c:ext>
          </c:extLst>
        </c:ser>
        <c:dLbls>
          <c:showLegendKey val="0"/>
          <c:showVal val="0"/>
          <c:showCatName val="0"/>
          <c:showSerName val="0"/>
          <c:showPercent val="0"/>
          <c:showBubbleSize val="0"/>
        </c:dLbls>
        <c:gapWidth val="182"/>
        <c:axId val="14154736"/>
        <c:axId val="14155216"/>
      </c:barChart>
      <c:catAx>
        <c:axId val="1415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5216"/>
        <c:crosses val="autoZero"/>
        <c:auto val="1"/>
        <c:lblAlgn val="ctr"/>
        <c:lblOffset val="100"/>
        <c:noMultiLvlLbl val="0"/>
      </c:catAx>
      <c:valAx>
        <c:axId val="14155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227808</xdr:colOff>
      <xdr:row>2</xdr:row>
      <xdr:rowOff>19793</xdr:rowOff>
    </xdr:from>
    <xdr:to>
      <xdr:col>10</xdr:col>
      <xdr:colOff>296884</xdr:colOff>
      <xdr:row>8</xdr:row>
      <xdr:rowOff>168234</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3961E8B-1419-C72B-55A3-6FED9496FB7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501260" y="395574"/>
              <a:ext cx="1415624" cy="1275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593568</xdr:colOff>
      <xdr:row>2</xdr:row>
      <xdr:rowOff>30481</xdr:rowOff>
    </xdr:from>
    <xdr:to>
      <xdr:col>12</xdr:col>
      <xdr:colOff>598375</xdr:colOff>
      <xdr:row>9</xdr:row>
      <xdr:rowOff>0</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32A0B40A-73EC-422E-FB32-61BB9F9009F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213568" y="406262"/>
              <a:ext cx="1351355" cy="1284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172588</xdr:colOff>
      <xdr:row>15</xdr:row>
      <xdr:rowOff>9896</xdr:rowOff>
    </xdr:from>
    <xdr:to>
      <xdr:col>12</xdr:col>
      <xdr:colOff>82016</xdr:colOff>
      <xdr:row>22</xdr:row>
      <xdr:rowOff>19792</xdr:rowOff>
    </xdr:to>
    <mc:AlternateContent xmlns:mc="http://schemas.openxmlformats.org/markup-compatibility/2006" xmlns:a14="http://schemas.microsoft.com/office/drawing/2010/main">
      <mc:Choice Requires="a14">
        <xdr:graphicFrame macro="">
          <xdr:nvGraphicFramePr>
            <xdr:cNvPr id="5" name="Experience (Years)">
              <a:extLst>
                <a:ext uri="{FF2B5EF4-FFF2-40B4-BE49-F238E27FC236}">
                  <a16:creationId xmlns:a16="http://schemas.microsoft.com/office/drawing/2014/main" id="{4A713CDB-2788-574E-F68F-B1AFF507D368}"/>
                </a:ext>
              </a:extLst>
            </xdr:cNvPr>
            <xdr:cNvGraphicFramePr/>
          </xdr:nvGraphicFramePr>
          <xdr:xfrm>
            <a:off x="0" y="0"/>
            <a:ext cx="0" cy="0"/>
          </xdr:xfrm>
          <a:graphic>
            <a:graphicData uri="http://schemas.microsoft.com/office/drawing/2010/slicer">
              <sle:slicer xmlns:sle="http://schemas.microsoft.com/office/drawing/2010/slicer" name="Experience (Years)"/>
            </a:graphicData>
          </a:graphic>
        </xdr:graphicFrame>
      </mc:Choice>
      <mc:Fallback xmlns="">
        <xdr:sp macro="" textlink="">
          <xdr:nvSpPr>
            <xdr:cNvPr id="0" name=""/>
            <xdr:cNvSpPr>
              <a:spLocks noTextEdit="1"/>
            </xdr:cNvSpPr>
          </xdr:nvSpPr>
          <xdr:spPr>
            <a:xfrm>
              <a:off x="7792588" y="2828252"/>
              <a:ext cx="1255976" cy="13251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751511</xdr:colOff>
      <xdr:row>15</xdr:row>
      <xdr:rowOff>26820</xdr:rowOff>
    </xdr:from>
    <xdr:to>
      <xdr:col>9</xdr:col>
      <xdr:colOff>653348</xdr:colOff>
      <xdr:row>22</xdr:row>
      <xdr:rowOff>9897</xdr:rowOff>
    </xdr:to>
    <mc:AlternateContent xmlns:mc="http://schemas.openxmlformats.org/markup-compatibility/2006" xmlns:a14="http://schemas.microsoft.com/office/drawing/2010/main">
      <mc:Choice Requires="a14">
        <xdr:graphicFrame macro="">
          <xdr:nvGraphicFramePr>
            <xdr:cNvPr id="7" name="Performance Rating">
              <a:extLst>
                <a:ext uri="{FF2B5EF4-FFF2-40B4-BE49-F238E27FC236}">
                  <a16:creationId xmlns:a16="http://schemas.microsoft.com/office/drawing/2014/main" id="{26626231-50A4-5351-7DB3-9ED4F364E171}"/>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6252525" y="2845176"/>
              <a:ext cx="1311015" cy="1298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204814</xdr:colOff>
      <xdr:row>63</xdr:row>
      <xdr:rowOff>166206</xdr:rowOff>
    </xdr:from>
    <xdr:to>
      <xdr:col>8</xdr:col>
      <xdr:colOff>215967</xdr:colOff>
      <xdr:row>71</xdr:row>
      <xdr:rowOff>39041</xdr:rowOff>
    </xdr:to>
    <mc:AlternateContent xmlns:mc="http://schemas.openxmlformats.org/markup-compatibility/2006" xmlns:a14="http://schemas.microsoft.com/office/drawing/2010/main">
      <mc:Choice Requires="a14">
        <xdr:graphicFrame macro="">
          <xdr:nvGraphicFramePr>
            <xdr:cNvPr id="9" name="Manager Name">
              <a:extLst>
                <a:ext uri="{FF2B5EF4-FFF2-40B4-BE49-F238E27FC236}">
                  <a16:creationId xmlns:a16="http://schemas.microsoft.com/office/drawing/2014/main" id="{7E2543F3-95FC-9EBC-F1FE-A0E7AC4B0A51}"/>
                </a:ext>
              </a:extLst>
            </xdr:cNvPr>
            <xdr:cNvGraphicFramePr/>
          </xdr:nvGraphicFramePr>
          <xdr:xfrm>
            <a:off x="0" y="0"/>
            <a:ext cx="0" cy="0"/>
          </xdr:xfrm>
          <a:graphic>
            <a:graphicData uri="http://schemas.microsoft.com/office/drawing/2010/slicer">
              <sle:slicer xmlns:sle="http://schemas.microsoft.com/office/drawing/2010/slicer" name="Manager Name"/>
            </a:graphicData>
          </a:graphic>
        </xdr:graphicFrame>
      </mc:Choice>
      <mc:Fallback xmlns="">
        <xdr:sp macro="" textlink="">
          <xdr:nvSpPr>
            <xdr:cNvPr id="0" name=""/>
            <xdr:cNvSpPr>
              <a:spLocks noTextEdit="1"/>
            </xdr:cNvSpPr>
          </xdr:nvSpPr>
          <xdr:spPr>
            <a:xfrm>
              <a:off x="4996019" y="12003302"/>
              <a:ext cx="1493400" cy="1375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246229</xdr:colOff>
      <xdr:row>63</xdr:row>
      <xdr:rowOff>166889</xdr:rowOff>
    </xdr:from>
    <xdr:to>
      <xdr:col>10</xdr:col>
      <xdr:colOff>236353</xdr:colOff>
      <xdr:row>71</xdr:row>
      <xdr:rowOff>5714</xdr:rowOff>
    </xdr:to>
    <mc:AlternateContent xmlns:mc="http://schemas.openxmlformats.org/markup-compatibility/2006" xmlns:a14="http://schemas.microsoft.com/office/drawing/2010/main">
      <mc:Choice Requires="a14">
        <xdr:graphicFrame macro="">
          <xdr:nvGraphicFramePr>
            <xdr:cNvPr id="10" name="Work Mode">
              <a:extLst>
                <a:ext uri="{FF2B5EF4-FFF2-40B4-BE49-F238E27FC236}">
                  <a16:creationId xmlns:a16="http://schemas.microsoft.com/office/drawing/2014/main" id="{40066488-3C2E-27E6-204C-EC7D959BC603}"/>
                </a:ext>
              </a:extLst>
            </xdr:cNvPr>
            <xdr:cNvGraphicFramePr/>
          </xdr:nvGraphicFramePr>
          <xdr:xfrm>
            <a:off x="0" y="0"/>
            <a:ext cx="0" cy="0"/>
          </xdr:xfrm>
          <a:graphic>
            <a:graphicData uri="http://schemas.microsoft.com/office/drawing/2010/slicer">
              <sle:slicer xmlns:sle="http://schemas.microsoft.com/office/drawing/2010/slicer" name="Work Mode"/>
            </a:graphicData>
          </a:graphic>
        </xdr:graphicFrame>
      </mc:Choice>
      <mc:Fallback xmlns="">
        <xdr:sp macro="" textlink="">
          <xdr:nvSpPr>
            <xdr:cNvPr id="0" name=""/>
            <xdr:cNvSpPr>
              <a:spLocks noTextEdit="1"/>
            </xdr:cNvSpPr>
          </xdr:nvSpPr>
          <xdr:spPr>
            <a:xfrm>
              <a:off x="6519681" y="12003985"/>
              <a:ext cx="1336672" cy="1341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159171</xdr:colOff>
      <xdr:row>74</xdr:row>
      <xdr:rowOff>59416</xdr:rowOff>
    </xdr:from>
    <xdr:to>
      <xdr:col>7</xdr:col>
      <xdr:colOff>746163</xdr:colOff>
      <xdr:row>84</xdr:row>
      <xdr:rowOff>33854</xdr:rowOff>
    </xdr:to>
    <mc:AlternateContent xmlns:mc="http://schemas.openxmlformats.org/markup-compatibility/2006" xmlns:a14="http://schemas.microsoft.com/office/drawing/2010/main">
      <mc:Choice Requires="a14">
        <xdr:graphicFrame macro="">
          <xdr:nvGraphicFramePr>
            <xdr:cNvPr id="12" name="Department 1">
              <a:extLst>
                <a:ext uri="{FF2B5EF4-FFF2-40B4-BE49-F238E27FC236}">
                  <a16:creationId xmlns:a16="http://schemas.microsoft.com/office/drawing/2014/main" id="{DB44419D-2A1F-46BA-6E3D-F0C05A332E2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950376" y="13963306"/>
              <a:ext cx="1296801" cy="1853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92972</xdr:colOff>
      <xdr:row>74</xdr:row>
      <xdr:rowOff>36829</xdr:rowOff>
    </xdr:from>
    <xdr:to>
      <xdr:col>10</xdr:col>
      <xdr:colOff>207797</xdr:colOff>
      <xdr:row>84</xdr:row>
      <xdr:rowOff>52531</xdr:rowOff>
    </xdr:to>
    <mc:AlternateContent xmlns:mc="http://schemas.openxmlformats.org/markup-compatibility/2006" xmlns:a14="http://schemas.microsoft.com/office/drawing/2010/main">
      <mc:Choice Requires="a14">
        <xdr:graphicFrame macro="">
          <xdr:nvGraphicFramePr>
            <xdr:cNvPr id="13" name="Employment Type">
              <a:extLst>
                <a:ext uri="{FF2B5EF4-FFF2-40B4-BE49-F238E27FC236}">
                  <a16:creationId xmlns:a16="http://schemas.microsoft.com/office/drawing/2014/main" id="{EAA9D7BE-E79D-EDB8-D4BB-76BB1CA44C13}"/>
                </a:ext>
              </a:extLst>
            </xdr:cNvPr>
            <xdr:cNvGraphicFramePr/>
          </xdr:nvGraphicFramePr>
          <xdr:xfrm>
            <a:off x="0" y="0"/>
            <a:ext cx="0" cy="0"/>
          </xdr:xfrm>
          <a:graphic>
            <a:graphicData uri="http://schemas.microsoft.com/office/drawing/2010/slicer">
              <sle:slicer xmlns:sle="http://schemas.microsoft.com/office/drawing/2010/slicer" name="Employment Type"/>
            </a:graphicData>
          </a:graphic>
        </xdr:graphicFrame>
      </mc:Choice>
      <mc:Fallback xmlns="">
        <xdr:sp macro="" textlink="">
          <xdr:nvSpPr>
            <xdr:cNvPr id="0" name=""/>
            <xdr:cNvSpPr>
              <a:spLocks noTextEdit="1"/>
            </xdr:cNvSpPr>
          </xdr:nvSpPr>
          <xdr:spPr>
            <a:xfrm>
              <a:off x="6366424" y="13940719"/>
              <a:ext cx="1461373" cy="1894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217714</xdr:colOff>
      <xdr:row>1</xdr:row>
      <xdr:rowOff>28700</xdr:rowOff>
    </xdr:from>
    <xdr:to>
      <xdr:col>20</xdr:col>
      <xdr:colOff>494805</xdr:colOff>
      <xdr:row>13</xdr:row>
      <xdr:rowOff>48127</xdr:rowOff>
    </xdr:to>
    <xdr:graphicFrame macro="">
      <xdr:nvGraphicFramePr>
        <xdr:cNvPr id="14" name="Chart 13">
          <a:extLst>
            <a:ext uri="{FF2B5EF4-FFF2-40B4-BE49-F238E27FC236}">
              <a16:creationId xmlns:a16="http://schemas.microsoft.com/office/drawing/2014/main" id="{A6E14805-CE9A-313D-6F6C-7DD1F0A03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88231</xdr:colOff>
      <xdr:row>23</xdr:row>
      <xdr:rowOff>12032</xdr:rowOff>
    </xdr:from>
    <xdr:to>
      <xdr:col>14</xdr:col>
      <xdr:colOff>112294</xdr:colOff>
      <xdr:row>37</xdr:row>
      <xdr:rowOff>172453</xdr:rowOff>
    </xdr:to>
    <xdr:graphicFrame macro="">
      <xdr:nvGraphicFramePr>
        <xdr:cNvPr id="17" name="Chart 16">
          <a:extLst>
            <a:ext uri="{FF2B5EF4-FFF2-40B4-BE49-F238E27FC236}">
              <a16:creationId xmlns:a16="http://schemas.microsoft.com/office/drawing/2014/main" id="{7D413630-7C7D-D9E7-829A-D6F6FC22B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477910</xdr:colOff>
      <xdr:row>60</xdr:row>
      <xdr:rowOff>13865</xdr:rowOff>
    </xdr:from>
    <xdr:to>
      <xdr:col>18</xdr:col>
      <xdr:colOff>179432</xdr:colOff>
      <xdr:row>72</xdr:row>
      <xdr:rowOff>17873</xdr:rowOff>
    </xdr:to>
    <xdr:graphicFrame macro="">
      <xdr:nvGraphicFramePr>
        <xdr:cNvPr id="18" name="Chart 17">
          <a:extLst>
            <a:ext uri="{FF2B5EF4-FFF2-40B4-BE49-F238E27FC236}">
              <a16:creationId xmlns:a16="http://schemas.microsoft.com/office/drawing/2014/main" id="{BF3705D9-86DB-BF50-8070-D134D30DC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598681</xdr:colOff>
      <xdr:row>73</xdr:row>
      <xdr:rowOff>117364</xdr:rowOff>
    </xdr:from>
    <xdr:to>
      <xdr:col>18</xdr:col>
      <xdr:colOff>300203</xdr:colOff>
      <xdr:row>84</xdr:row>
      <xdr:rowOff>180927</xdr:rowOff>
    </xdr:to>
    <xdr:graphicFrame macro="">
      <xdr:nvGraphicFramePr>
        <xdr:cNvPr id="19" name="Chart 18">
          <a:extLst>
            <a:ext uri="{FF2B5EF4-FFF2-40B4-BE49-F238E27FC236}">
              <a16:creationId xmlns:a16="http://schemas.microsoft.com/office/drawing/2014/main" id="{74C1B9B0-DB7F-1CE7-D44B-59962E011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129540</xdr:colOff>
          <xdr:row>3</xdr:row>
          <xdr:rowOff>0</xdr:rowOff>
        </xdr:from>
        <xdr:to>
          <xdr:col>8</xdr:col>
          <xdr:colOff>579120</xdr:colOff>
          <xdr:row>4</xdr:row>
          <xdr:rowOff>175260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Insert</a:t>
              </a:r>
            </a:p>
            <a:p>
              <a:pPr algn="ctr" rtl="0">
                <a:defRPr sz="1000"/>
              </a:pPr>
              <a:endParaRPr lang="en-US" sz="1100" b="0" i="0" u="none" strike="noStrike" baseline="0">
                <a:solidFill>
                  <a:srgbClr val="000000"/>
                </a:solidFill>
                <a:latin typeface="Calibri"/>
                <a:ea typeface="Calibri"/>
                <a:cs typeface="Calibri"/>
              </a:endParaRP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MEVADA" refreshedDate="46027.658377777778" createdVersion="8" refreshedVersion="8" minRefreshableVersion="3" recordCount="51" xr:uid="{D10E491B-AD74-4629-A582-8E0B166A96CC}">
  <cacheSource type="worksheet">
    <worksheetSource ref="A1:L1048576" sheet="Corporate Dataset"/>
  </cacheSource>
  <cacheFields count="15">
    <cacheField name="Employee ID" numFmtId="0">
      <sharedItems containsBlank="1" count="51">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m/>
      </sharedItems>
    </cacheField>
    <cacheField name="Employee Name" numFmtId="0">
      <sharedItems containsBlank="1"/>
    </cacheField>
    <cacheField name="Department" numFmtId="0">
      <sharedItems containsBlank="1" count="8">
        <s v="Admin"/>
        <s v="IT"/>
        <s v="HR"/>
        <s v="Marketing"/>
        <s v="Operations"/>
        <s v="Finance"/>
        <s v="Sales"/>
        <m/>
      </sharedItems>
    </cacheField>
    <cacheField name="Job Title" numFmtId="0">
      <sharedItems containsBlank="1" count="7">
        <s v="Specialist"/>
        <s v="Executive"/>
        <s v="Manager"/>
        <s v="Engineer"/>
        <s v="Analyst"/>
        <s v="Consultant"/>
        <m/>
      </sharedItems>
    </cacheField>
    <cacheField name="Location" numFmtId="0">
      <sharedItems containsBlank="1" count="7">
        <s v="Hyderabad"/>
        <s v="Mumbai"/>
        <s v="Chennai"/>
        <s v="Delhi"/>
        <s v="Pune"/>
        <s v="Bengaluru"/>
        <m/>
      </sharedItems>
    </cacheField>
    <cacheField name="Date of Joining" numFmtId="0">
      <sharedItems containsNonDate="0" containsDate="1" containsString="0" containsBlank="1" minDate="2015-04-18T00:00:00" maxDate="2024-04-13T00:00:00" count="51">
        <d v="2016-01-17T00:00:00"/>
        <d v="2017-03-12T00:00:00"/>
        <d v="2021-01-17T00:00:00"/>
        <d v="2022-11-09T00:00:00"/>
        <d v="2016-01-07T00:00:00"/>
        <d v="2017-05-28T00:00:00"/>
        <d v="2023-11-13T00:00:00"/>
        <d v="2017-12-29T00:00:00"/>
        <d v="2021-03-12T00:00:00"/>
        <d v="2021-11-24T00:00:00"/>
        <d v="2024-01-08T00:00:00"/>
        <d v="2017-03-23T00:00:00"/>
        <d v="2015-05-27T00:00:00"/>
        <d v="2018-07-27T00:00:00"/>
        <d v="2023-09-16T00:00:00"/>
        <d v="2022-01-23T00:00:00"/>
        <d v="2020-12-21T00:00:00"/>
        <d v="2016-06-22T00:00:00"/>
        <d v="2016-12-02T00:00:00"/>
        <d v="2023-05-27T00:00:00"/>
        <d v="2015-04-18T00:00:00"/>
        <d v="2015-09-10T00:00:00"/>
        <d v="2018-02-04T00:00:00"/>
        <d v="2019-02-08T00:00:00"/>
        <d v="2015-06-10T00:00:00"/>
        <d v="2021-01-18T00:00:00"/>
        <d v="2020-05-15T00:00:00"/>
        <d v="2017-05-04T00:00:00"/>
        <d v="2022-07-15T00:00:00"/>
        <d v="2021-07-26T00:00:00"/>
        <d v="2018-07-04T00:00:00"/>
        <d v="2019-09-12T00:00:00"/>
        <d v="2021-05-29T00:00:00"/>
        <d v="2018-11-06T00:00:00"/>
        <d v="2018-12-01T00:00:00"/>
        <d v="2016-04-01T00:00:00"/>
        <d v="2023-12-27T00:00:00"/>
        <d v="2022-03-23T00:00:00"/>
        <d v="2015-09-21T00:00:00"/>
        <d v="2016-08-17T00:00:00"/>
        <d v="2018-05-12T00:00:00"/>
        <d v="2024-04-12T00:00:00"/>
        <d v="2022-09-12T00:00:00"/>
        <d v="2021-01-30T00:00:00"/>
        <d v="2015-09-05T00:00:00"/>
        <d v="2022-03-21T00:00:00"/>
        <d v="2015-10-27T00:00:00"/>
        <d v="2021-04-29T00:00:00"/>
        <d v="2021-01-12T00:00:00"/>
        <d v="2018-06-04T00:00:00"/>
        <m/>
      </sharedItems>
      <fieldGroup par="14"/>
    </cacheField>
    <cacheField name="Experience (Years)" numFmtId="0">
      <sharedItems containsString="0" containsBlank="1" containsNumber="1" minValue="0.8" maxValue="10" count="43">
        <n v="1"/>
        <n v="8.9"/>
        <n v="2.8"/>
        <n v="1.9"/>
        <n v="9.9"/>
        <n v="6.4"/>
        <n v="4.3"/>
        <n v="7.4"/>
        <n v="0.9"/>
        <n v="1.1000000000000001"/>
        <n v="3.3"/>
        <n v="9"/>
        <n v="1.2"/>
        <n v="7.9"/>
        <n v="8.3000000000000007"/>
        <n v="7.7"/>
        <n v="7.6"/>
        <n v="5.0999999999999996"/>
        <n v="7"/>
        <n v="3.8"/>
        <n v="1.8"/>
        <n v="6.3"/>
        <n v="4"/>
        <n v="9.6"/>
        <n v="3.1"/>
        <n v="1.7"/>
        <n v="4.0999999999999996"/>
        <n v="4.4000000000000004"/>
        <n v="6.1"/>
        <n v="3.9"/>
        <n v="8.4"/>
        <n v="2.9"/>
        <n v="0.8"/>
        <n v="3.5"/>
        <n v="6.2"/>
        <n v="5"/>
        <n v="9.3000000000000007"/>
        <n v="1.6"/>
        <n v="2.5"/>
        <n v="9.4"/>
        <n v="10"/>
        <n v="5.5"/>
        <m/>
      </sharedItems>
    </cacheField>
    <cacheField name="Employment Type" numFmtId="0">
      <sharedItems containsBlank="1" count="4">
        <s v="Intern"/>
        <s v="Full-Time"/>
        <s v="Contract"/>
        <m/>
      </sharedItems>
    </cacheField>
    <cacheField name="Monthly Salary (INR)" numFmtId="0">
      <sharedItems containsString="0" containsBlank="1" containsNumber="1" containsInteger="1" minValue="25328" maxValue="117145" count="51">
        <n v="103723"/>
        <n v="111683"/>
        <n v="67083"/>
        <n v="107187"/>
        <n v="115491"/>
        <n v="55924"/>
        <n v="56870"/>
        <n v="56552"/>
        <n v="37361"/>
        <n v="86194"/>
        <n v="86865"/>
        <n v="81679"/>
        <n v="91056"/>
        <n v="77217"/>
        <n v="103084"/>
        <n v="110138"/>
        <n v="107320"/>
        <n v="68778"/>
        <n v="77359"/>
        <n v="59780"/>
        <n v="67809"/>
        <n v="28537"/>
        <n v="113987"/>
        <n v="106041"/>
        <n v="37750"/>
        <n v="68104"/>
        <n v="64210"/>
        <n v="117145"/>
        <n v="71146"/>
        <n v="81286"/>
        <n v="27329"/>
        <n v="40185"/>
        <n v="64283"/>
        <n v="42896"/>
        <n v="34824"/>
        <n v="60988"/>
        <n v="43609"/>
        <n v="109529"/>
        <n v="25328"/>
        <n v="62524"/>
        <n v="35145"/>
        <n v="74528"/>
        <n v="113152"/>
        <n v="98109"/>
        <n v="63340"/>
        <n v="44583"/>
        <n v="78774"/>
        <n v="44575"/>
        <n v="70717"/>
        <n v="28317"/>
        <m/>
      </sharedItems>
    </cacheField>
    <cacheField name="Performance Rating" numFmtId="0">
      <sharedItems containsString="0" containsBlank="1" containsNumber="1" containsInteger="1" minValue="1" maxValue="5" count="6">
        <n v="3"/>
        <n v="5"/>
        <n v="1"/>
        <n v="2"/>
        <n v="4"/>
        <m/>
      </sharedItems>
    </cacheField>
    <cacheField name="Manager Name" numFmtId="0">
      <sharedItems containsBlank="1" count="5">
        <s v="P. Rao"/>
        <s v="A. Desai"/>
        <s v="S. Khanna"/>
        <s v="R. Malhotra"/>
        <m/>
      </sharedItems>
    </cacheField>
    <cacheField name="Work Mode" numFmtId="0">
      <sharedItems containsBlank="1" count="4">
        <s v="Onsite"/>
        <s v="Hybrid"/>
        <s v="Remote"/>
        <m/>
      </sharedItems>
    </cacheField>
    <cacheField name="Months (Date of Joining)" numFmtId="0" databaseField="0">
      <fieldGroup base="5">
        <rangePr groupBy="months" startDate="2015-04-18T00:00:00" endDate="2024-04-13T00:00:00"/>
        <groupItems count="14">
          <s v="&lt;4/18/2015"/>
          <s v="Jan"/>
          <s v="Feb"/>
          <s v="Mar"/>
          <s v="Apr"/>
          <s v="May"/>
          <s v="Jun"/>
          <s v="Jul"/>
          <s v="Aug"/>
          <s v="Sep"/>
          <s v="Oct"/>
          <s v="Nov"/>
          <s v="Dec"/>
          <s v="&gt;4/13/2024"/>
        </groupItems>
      </fieldGroup>
    </cacheField>
    <cacheField name="Quarters (Date of Joining)" numFmtId="0" databaseField="0">
      <fieldGroup base="5">
        <rangePr groupBy="quarters" startDate="2015-04-18T00:00:00" endDate="2024-04-13T00:00:00"/>
        <groupItems count="6">
          <s v="&lt;4/18/2015"/>
          <s v="Qtr1"/>
          <s v="Qtr2"/>
          <s v="Qtr3"/>
          <s v="Qtr4"/>
          <s v="&gt;4/13/2024"/>
        </groupItems>
      </fieldGroup>
    </cacheField>
    <cacheField name="Years (Date of Joining)" numFmtId="0" databaseField="0">
      <fieldGroup base="5">
        <rangePr groupBy="years" startDate="2015-04-18T00:00:00" endDate="2024-04-13T00:00:00"/>
        <groupItems count="12">
          <s v="&lt;4/18/2015"/>
          <s v="2015"/>
          <s v="2016"/>
          <s v="2017"/>
          <s v="2018"/>
          <s v="2019"/>
          <s v="2020"/>
          <s v="2021"/>
          <s v="2022"/>
          <s v="2023"/>
          <s v="2024"/>
          <s v="&gt;4/13/2024"/>
        </groupItems>
      </fieldGroup>
    </cacheField>
  </cacheFields>
  <extLst>
    <ext xmlns:x14="http://schemas.microsoft.com/office/spreadsheetml/2009/9/main" uri="{725AE2AE-9491-48be-B2B4-4EB974FC3084}">
      <x14:pivotCacheDefinition pivotCacheId="1256047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s v="Sneha Iyer"/>
    <x v="0"/>
    <x v="0"/>
    <x v="0"/>
    <x v="0"/>
    <x v="0"/>
    <x v="0"/>
    <x v="0"/>
    <x v="0"/>
    <x v="0"/>
    <x v="0"/>
  </r>
  <r>
    <x v="1"/>
    <s v="Anjali Patel"/>
    <x v="1"/>
    <x v="0"/>
    <x v="1"/>
    <x v="1"/>
    <x v="1"/>
    <x v="1"/>
    <x v="1"/>
    <x v="1"/>
    <x v="1"/>
    <x v="1"/>
  </r>
  <r>
    <x v="2"/>
    <s v="Karan Mehta"/>
    <x v="2"/>
    <x v="1"/>
    <x v="2"/>
    <x v="2"/>
    <x v="2"/>
    <x v="1"/>
    <x v="2"/>
    <x v="1"/>
    <x v="2"/>
    <x v="2"/>
  </r>
  <r>
    <x v="3"/>
    <s v="Karan Sharma"/>
    <x v="1"/>
    <x v="0"/>
    <x v="2"/>
    <x v="3"/>
    <x v="3"/>
    <x v="2"/>
    <x v="3"/>
    <x v="2"/>
    <x v="1"/>
    <x v="1"/>
  </r>
  <r>
    <x v="4"/>
    <s v="Pooja Nair"/>
    <x v="1"/>
    <x v="2"/>
    <x v="2"/>
    <x v="4"/>
    <x v="4"/>
    <x v="1"/>
    <x v="4"/>
    <x v="2"/>
    <x v="0"/>
    <x v="1"/>
  </r>
  <r>
    <x v="5"/>
    <s v="Pooja Iyer"/>
    <x v="2"/>
    <x v="3"/>
    <x v="2"/>
    <x v="5"/>
    <x v="5"/>
    <x v="1"/>
    <x v="5"/>
    <x v="0"/>
    <x v="2"/>
    <x v="0"/>
  </r>
  <r>
    <x v="6"/>
    <s v="Anjali Sharma"/>
    <x v="0"/>
    <x v="2"/>
    <x v="1"/>
    <x v="6"/>
    <x v="6"/>
    <x v="2"/>
    <x v="6"/>
    <x v="2"/>
    <x v="2"/>
    <x v="1"/>
  </r>
  <r>
    <x v="7"/>
    <s v="Amit Iyer"/>
    <x v="3"/>
    <x v="3"/>
    <x v="3"/>
    <x v="7"/>
    <x v="7"/>
    <x v="0"/>
    <x v="7"/>
    <x v="3"/>
    <x v="1"/>
    <x v="1"/>
  </r>
  <r>
    <x v="8"/>
    <s v="Pooja Iyer"/>
    <x v="0"/>
    <x v="4"/>
    <x v="3"/>
    <x v="8"/>
    <x v="8"/>
    <x v="1"/>
    <x v="8"/>
    <x v="2"/>
    <x v="1"/>
    <x v="2"/>
  </r>
  <r>
    <x v="9"/>
    <s v="Anjali Verma"/>
    <x v="0"/>
    <x v="4"/>
    <x v="2"/>
    <x v="9"/>
    <x v="9"/>
    <x v="1"/>
    <x v="9"/>
    <x v="0"/>
    <x v="3"/>
    <x v="0"/>
  </r>
  <r>
    <x v="10"/>
    <s v="Rahul Singh"/>
    <x v="1"/>
    <x v="2"/>
    <x v="1"/>
    <x v="10"/>
    <x v="10"/>
    <x v="1"/>
    <x v="10"/>
    <x v="3"/>
    <x v="1"/>
    <x v="0"/>
  </r>
  <r>
    <x v="11"/>
    <s v="Sneha Gupta"/>
    <x v="0"/>
    <x v="5"/>
    <x v="1"/>
    <x v="11"/>
    <x v="11"/>
    <x v="0"/>
    <x v="11"/>
    <x v="0"/>
    <x v="3"/>
    <x v="2"/>
  </r>
  <r>
    <x v="12"/>
    <s v="Karan Mehta"/>
    <x v="4"/>
    <x v="0"/>
    <x v="4"/>
    <x v="12"/>
    <x v="12"/>
    <x v="1"/>
    <x v="12"/>
    <x v="0"/>
    <x v="1"/>
    <x v="1"/>
  </r>
  <r>
    <x v="13"/>
    <s v="Neha Iyer"/>
    <x v="5"/>
    <x v="2"/>
    <x v="1"/>
    <x v="13"/>
    <x v="13"/>
    <x v="0"/>
    <x v="13"/>
    <x v="1"/>
    <x v="0"/>
    <x v="0"/>
  </r>
  <r>
    <x v="14"/>
    <s v="Anjali Nair"/>
    <x v="4"/>
    <x v="2"/>
    <x v="0"/>
    <x v="14"/>
    <x v="14"/>
    <x v="1"/>
    <x v="14"/>
    <x v="0"/>
    <x v="2"/>
    <x v="0"/>
  </r>
  <r>
    <x v="15"/>
    <s v="Anjali Gupta"/>
    <x v="6"/>
    <x v="5"/>
    <x v="1"/>
    <x v="15"/>
    <x v="15"/>
    <x v="2"/>
    <x v="15"/>
    <x v="4"/>
    <x v="1"/>
    <x v="0"/>
  </r>
  <r>
    <x v="16"/>
    <s v="Rohit Mehta"/>
    <x v="4"/>
    <x v="2"/>
    <x v="5"/>
    <x v="16"/>
    <x v="16"/>
    <x v="1"/>
    <x v="16"/>
    <x v="4"/>
    <x v="2"/>
    <x v="2"/>
  </r>
  <r>
    <x v="17"/>
    <s v="Rahul Sharma"/>
    <x v="5"/>
    <x v="4"/>
    <x v="4"/>
    <x v="17"/>
    <x v="17"/>
    <x v="0"/>
    <x v="17"/>
    <x v="2"/>
    <x v="2"/>
    <x v="1"/>
  </r>
  <r>
    <x v="18"/>
    <s v="Neha Patel"/>
    <x v="4"/>
    <x v="3"/>
    <x v="0"/>
    <x v="18"/>
    <x v="18"/>
    <x v="2"/>
    <x v="18"/>
    <x v="3"/>
    <x v="3"/>
    <x v="0"/>
  </r>
  <r>
    <x v="19"/>
    <s v="Priya Gupta"/>
    <x v="3"/>
    <x v="5"/>
    <x v="1"/>
    <x v="19"/>
    <x v="19"/>
    <x v="1"/>
    <x v="19"/>
    <x v="0"/>
    <x v="1"/>
    <x v="2"/>
  </r>
  <r>
    <x v="20"/>
    <s v="Vikram Nair"/>
    <x v="4"/>
    <x v="0"/>
    <x v="0"/>
    <x v="20"/>
    <x v="20"/>
    <x v="1"/>
    <x v="20"/>
    <x v="2"/>
    <x v="1"/>
    <x v="0"/>
  </r>
  <r>
    <x v="21"/>
    <s v="Rohit Nair"/>
    <x v="3"/>
    <x v="3"/>
    <x v="5"/>
    <x v="21"/>
    <x v="21"/>
    <x v="0"/>
    <x v="21"/>
    <x v="0"/>
    <x v="3"/>
    <x v="0"/>
  </r>
  <r>
    <x v="22"/>
    <s v="Priya Iyer"/>
    <x v="2"/>
    <x v="3"/>
    <x v="4"/>
    <x v="22"/>
    <x v="22"/>
    <x v="0"/>
    <x v="22"/>
    <x v="0"/>
    <x v="2"/>
    <x v="1"/>
  </r>
  <r>
    <x v="23"/>
    <s v="Vikram Singh"/>
    <x v="0"/>
    <x v="4"/>
    <x v="5"/>
    <x v="23"/>
    <x v="23"/>
    <x v="1"/>
    <x v="23"/>
    <x v="1"/>
    <x v="0"/>
    <x v="0"/>
  </r>
  <r>
    <x v="24"/>
    <s v="Rahul Gupta"/>
    <x v="3"/>
    <x v="2"/>
    <x v="5"/>
    <x v="24"/>
    <x v="24"/>
    <x v="0"/>
    <x v="24"/>
    <x v="1"/>
    <x v="0"/>
    <x v="1"/>
  </r>
  <r>
    <x v="25"/>
    <s v="Anjali Singh"/>
    <x v="2"/>
    <x v="3"/>
    <x v="2"/>
    <x v="25"/>
    <x v="25"/>
    <x v="2"/>
    <x v="25"/>
    <x v="2"/>
    <x v="0"/>
    <x v="2"/>
  </r>
  <r>
    <x v="26"/>
    <s v="Anjali Verma"/>
    <x v="6"/>
    <x v="5"/>
    <x v="2"/>
    <x v="26"/>
    <x v="26"/>
    <x v="2"/>
    <x v="26"/>
    <x v="0"/>
    <x v="0"/>
    <x v="1"/>
  </r>
  <r>
    <x v="27"/>
    <s v="Vikram Mehta"/>
    <x v="1"/>
    <x v="4"/>
    <x v="1"/>
    <x v="27"/>
    <x v="27"/>
    <x v="1"/>
    <x v="27"/>
    <x v="4"/>
    <x v="0"/>
    <x v="0"/>
  </r>
  <r>
    <x v="28"/>
    <s v="Priya Iyer"/>
    <x v="6"/>
    <x v="2"/>
    <x v="1"/>
    <x v="28"/>
    <x v="28"/>
    <x v="1"/>
    <x v="28"/>
    <x v="4"/>
    <x v="0"/>
    <x v="0"/>
  </r>
  <r>
    <x v="29"/>
    <s v="Rohit Nair"/>
    <x v="5"/>
    <x v="1"/>
    <x v="0"/>
    <x v="29"/>
    <x v="16"/>
    <x v="2"/>
    <x v="29"/>
    <x v="0"/>
    <x v="1"/>
    <x v="0"/>
  </r>
  <r>
    <x v="30"/>
    <s v="Pooja Verma"/>
    <x v="5"/>
    <x v="3"/>
    <x v="2"/>
    <x v="30"/>
    <x v="9"/>
    <x v="1"/>
    <x v="30"/>
    <x v="0"/>
    <x v="2"/>
    <x v="2"/>
  </r>
  <r>
    <x v="31"/>
    <s v="Neha Patel"/>
    <x v="6"/>
    <x v="3"/>
    <x v="4"/>
    <x v="31"/>
    <x v="29"/>
    <x v="0"/>
    <x v="31"/>
    <x v="0"/>
    <x v="0"/>
    <x v="0"/>
  </r>
  <r>
    <x v="32"/>
    <s v="Pooja Singh"/>
    <x v="6"/>
    <x v="1"/>
    <x v="4"/>
    <x v="32"/>
    <x v="30"/>
    <x v="0"/>
    <x v="32"/>
    <x v="3"/>
    <x v="3"/>
    <x v="0"/>
  </r>
  <r>
    <x v="33"/>
    <s v="Karan Patel"/>
    <x v="0"/>
    <x v="4"/>
    <x v="3"/>
    <x v="33"/>
    <x v="31"/>
    <x v="1"/>
    <x v="33"/>
    <x v="2"/>
    <x v="0"/>
    <x v="2"/>
  </r>
  <r>
    <x v="34"/>
    <s v="Neha Nair"/>
    <x v="1"/>
    <x v="2"/>
    <x v="1"/>
    <x v="34"/>
    <x v="32"/>
    <x v="1"/>
    <x v="34"/>
    <x v="4"/>
    <x v="1"/>
    <x v="0"/>
  </r>
  <r>
    <x v="35"/>
    <s v="Pooja Verma"/>
    <x v="1"/>
    <x v="0"/>
    <x v="3"/>
    <x v="35"/>
    <x v="7"/>
    <x v="1"/>
    <x v="35"/>
    <x v="1"/>
    <x v="3"/>
    <x v="0"/>
  </r>
  <r>
    <x v="36"/>
    <s v="Rohit Nair"/>
    <x v="3"/>
    <x v="4"/>
    <x v="5"/>
    <x v="36"/>
    <x v="1"/>
    <x v="0"/>
    <x v="36"/>
    <x v="3"/>
    <x v="1"/>
    <x v="0"/>
  </r>
  <r>
    <x v="37"/>
    <s v="Karan Nair"/>
    <x v="2"/>
    <x v="5"/>
    <x v="2"/>
    <x v="37"/>
    <x v="33"/>
    <x v="2"/>
    <x v="37"/>
    <x v="4"/>
    <x v="3"/>
    <x v="2"/>
  </r>
  <r>
    <x v="38"/>
    <s v="Neha Patel"/>
    <x v="6"/>
    <x v="3"/>
    <x v="4"/>
    <x v="38"/>
    <x v="34"/>
    <x v="1"/>
    <x v="38"/>
    <x v="0"/>
    <x v="3"/>
    <x v="0"/>
  </r>
  <r>
    <x v="39"/>
    <s v="Karan Mehta"/>
    <x v="1"/>
    <x v="1"/>
    <x v="3"/>
    <x v="39"/>
    <x v="35"/>
    <x v="0"/>
    <x v="39"/>
    <x v="3"/>
    <x v="1"/>
    <x v="0"/>
  </r>
  <r>
    <x v="40"/>
    <s v="Vikram Sharma"/>
    <x v="2"/>
    <x v="1"/>
    <x v="3"/>
    <x v="40"/>
    <x v="36"/>
    <x v="1"/>
    <x v="40"/>
    <x v="3"/>
    <x v="3"/>
    <x v="2"/>
  </r>
  <r>
    <x v="41"/>
    <s v="Amit Verma"/>
    <x v="2"/>
    <x v="4"/>
    <x v="2"/>
    <x v="41"/>
    <x v="36"/>
    <x v="0"/>
    <x v="41"/>
    <x v="1"/>
    <x v="3"/>
    <x v="0"/>
  </r>
  <r>
    <x v="42"/>
    <s v="Vikram Singh"/>
    <x v="3"/>
    <x v="0"/>
    <x v="2"/>
    <x v="42"/>
    <x v="37"/>
    <x v="0"/>
    <x v="42"/>
    <x v="0"/>
    <x v="0"/>
    <x v="0"/>
  </r>
  <r>
    <x v="43"/>
    <s v="Anjali Verma"/>
    <x v="6"/>
    <x v="0"/>
    <x v="3"/>
    <x v="43"/>
    <x v="38"/>
    <x v="1"/>
    <x v="43"/>
    <x v="1"/>
    <x v="3"/>
    <x v="0"/>
  </r>
  <r>
    <x v="44"/>
    <s v="Neha Nair"/>
    <x v="2"/>
    <x v="3"/>
    <x v="2"/>
    <x v="44"/>
    <x v="31"/>
    <x v="2"/>
    <x v="44"/>
    <x v="2"/>
    <x v="3"/>
    <x v="0"/>
  </r>
  <r>
    <x v="45"/>
    <s v="Priya Mehta"/>
    <x v="5"/>
    <x v="4"/>
    <x v="1"/>
    <x v="45"/>
    <x v="3"/>
    <x v="2"/>
    <x v="45"/>
    <x v="4"/>
    <x v="0"/>
    <x v="1"/>
  </r>
  <r>
    <x v="46"/>
    <s v="Priya Sharma"/>
    <x v="4"/>
    <x v="0"/>
    <x v="1"/>
    <x v="46"/>
    <x v="39"/>
    <x v="2"/>
    <x v="46"/>
    <x v="1"/>
    <x v="3"/>
    <x v="1"/>
  </r>
  <r>
    <x v="47"/>
    <s v="Sneha Sharma"/>
    <x v="6"/>
    <x v="4"/>
    <x v="2"/>
    <x v="47"/>
    <x v="40"/>
    <x v="1"/>
    <x v="47"/>
    <x v="4"/>
    <x v="3"/>
    <x v="2"/>
  </r>
  <r>
    <x v="48"/>
    <s v="Priya Iyer"/>
    <x v="0"/>
    <x v="0"/>
    <x v="1"/>
    <x v="48"/>
    <x v="41"/>
    <x v="1"/>
    <x v="48"/>
    <x v="1"/>
    <x v="2"/>
    <x v="1"/>
  </r>
  <r>
    <x v="49"/>
    <s v="Vikram Iyer"/>
    <x v="3"/>
    <x v="3"/>
    <x v="0"/>
    <x v="49"/>
    <x v="2"/>
    <x v="0"/>
    <x v="49"/>
    <x v="4"/>
    <x v="1"/>
    <x v="1"/>
  </r>
  <r>
    <x v="50"/>
    <m/>
    <x v="7"/>
    <x v="6"/>
    <x v="6"/>
    <x v="50"/>
    <x v="42"/>
    <x v="3"/>
    <x v="50"/>
    <x v="5"/>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5294F-784A-459E-BC91-47D6A083D5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anger Name">
  <location ref="A65:E71" firstHeaderRow="1" firstDataRow="2" firstDataCol="1"/>
  <pivotFields count="15">
    <pivotField dataField="1"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pivotField showAll="0"/>
    <pivotField showAll="0"/>
    <pivotField showAll="0">
      <items count="52">
        <item x="20"/>
        <item x="12"/>
        <item x="24"/>
        <item x="44"/>
        <item x="21"/>
        <item x="38"/>
        <item x="46"/>
        <item x="4"/>
        <item x="0"/>
        <item x="35"/>
        <item x="17"/>
        <item x="39"/>
        <item x="18"/>
        <item x="1"/>
        <item x="11"/>
        <item x="27"/>
        <item x="5"/>
        <item x="7"/>
        <item x="22"/>
        <item x="40"/>
        <item x="49"/>
        <item x="30"/>
        <item x="13"/>
        <item x="33"/>
        <item x="34"/>
        <item x="23"/>
        <item x="31"/>
        <item x="26"/>
        <item x="16"/>
        <item x="48"/>
        <item x="2"/>
        <item x="25"/>
        <item x="43"/>
        <item x="8"/>
        <item x="47"/>
        <item x="32"/>
        <item x="29"/>
        <item x="9"/>
        <item x="15"/>
        <item x="45"/>
        <item x="37"/>
        <item x="28"/>
        <item x="42"/>
        <item x="3"/>
        <item x="19"/>
        <item x="14"/>
        <item x="6"/>
        <item x="36"/>
        <item x="10"/>
        <item x="41"/>
        <item x="50"/>
        <item t="default"/>
      </items>
    </pivotField>
    <pivotField showAll="0"/>
    <pivotField showAll="0"/>
    <pivotField showAll="0"/>
    <pivotField showAll="0"/>
    <pivotField axis="axisRow" showAll="0">
      <items count="6">
        <item x="1"/>
        <item x="0"/>
        <item x="3"/>
        <item x="2"/>
        <item h="1" x="4"/>
        <item t="default"/>
      </items>
    </pivotField>
    <pivotField axis="axisCol" showAll="0">
      <items count="5">
        <item x="1"/>
        <item x="0"/>
        <item x="2"/>
        <item h="1"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0"/>
  </rowFields>
  <rowItems count="5">
    <i>
      <x/>
    </i>
    <i>
      <x v="1"/>
    </i>
    <i>
      <x v="2"/>
    </i>
    <i>
      <x v="3"/>
    </i>
    <i t="grand">
      <x/>
    </i>
  </rowItems>
  <colFields count="1">
    <field x="11"/>
  </colFields>
  <colItems count="4">
    <i>
      <x/>
    </i>
    <i>
      <x v="1"/>
    </i>
    <i>
      <x v="2"/>
    </i>
    <i t="grand">
      <x/>
    </i>
  </colItems>
  <dataFields count="1">
    <dataField name="Count of Employee ID" fld="0" subtotal="count" baseField="0" baseItem="0"/>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11" type="button" dataOnly="0" labelOnly="1" outline="0" axis="axisCol" fieldPosition="0"/>
    </format>
    <format dxfId="11">
      <pivotArea type="topRight" dataOnly="0" labelOnly="1" outline="0" fieldPosition="0"/>
    </format>
    <format dxfId="10">
      <pivotArea field="10" type="button" dataOnly="0" labelOnly="1" outline="0" axis="axisRow" fieldPosition="0"/>
    </format>
    <format dxfId="9">
      <pivotArea dataOnly="0" labelOnly="1" fieldPosition="0">
        <references count="1">
          <reference field="10" count="0"/>
        </references>
      </pivotArea>
    </format>
    <format dxfId="8">
      <pivotArea dataOnly="0" labelOnly="1" grandRow="1" outline="0" fieldPosition="0"/>
    </format>
    <format dxfId="7">
      <pivotArea dataOnly="0" labelOnly="1" fieldPosition="0">
        <references count="1">
          <reference field="11" count="3">
            <x v="0"/>
            <x v="1"/>
            <x v="2"/>
          </reference>
        </references>
      </pivotArea>
    </format>
    <format dxfId="6">
      <pivotArea dataOnly="0" labelOnly="1" grandCol="1" outline="0" fieldPosition="0"/>
    </format>
  </format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C2C159-22BD-44C5-AD55-F0DF4A3D29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xperience">
  <location ref="A16:G60" firstHeaderRow="1" firstDataRow="2" firstDataCol="1"/>
  <pivotFields count="15">
    <pivotField showAll="0"/>
    <pivotField showAll="0"/>
    <pivotField showAll="0"/>
    <pivotField showAll="0"/>
    <pivotField showAll="0"/>
    <pivotField showAll="0">
      <items count="52">
        <item x="20"/>
        <item x="12"/>
        <item x="24"/>
        <item x="44"/>
        <item x="21"/>
        <item x="38"/>
        <item x="46"/>
        <item x="4"/>
        <item x="0"/>
        <item x="35"/>
        <item x="17"/>
        <item x="39"/>
        <item x="18"/>
        <item x="1"/>
        <item x="11"/>
        <item x="27"/>
        <item x="5"/>
        <item x="7"/>
        <item x="22"/>
        <item x="40"/>
        <item x="49"/>
        <item x="30"/>
        <item x="13"/>
        <item x="33"/>
        <item x="34"/>
        <item x="23"/>
        <item x="31"/>
        <item x="26"/>
        <item x="16"/>
        <item x="48"/>
        <item x="2"/>
        <item x="25"/>
        <item x="43"/>
        <item x="8"/>
        <item x="47"/>
        <item x="32"/>
        <item x="29"/>
        <item x="9"/>
        <item x="15"/>
        <item x="45"/>
        <item x="37"/>
        <item x="28"/>
        <item x="42"/>
        <item x="3"/>
        <item x="19"/>
        <item x="14"/>
        <item x="6"/>
        <item x="36"/>
        <item x="10"/>
        <item x="41"/>
        <item x="50"/>
        <item t="default"/>
      </items>
    </pivotField>
    <pivotField axis="axisRow" showAll="0">
      <items count="44">
        <item x="32"/>
        <item x="8"/>
        <item x="0"/>
        <item x="9"/>
        <item x="12"/>
        <item x="37"/>
        <item x="25"/>
        <item x="20"/>
        <item x="3"/>
        <item x="38"/>
        <item x="2"/>
        <item x="31"/>
        <item x="24"/>
        <item x="10"/>
        <item x="33"/>
        <item x="19"/>
        <item x="29"/>
        <item x="22"/>
        <item x="26"/>
        <item x="6"/>
        <item x="27"/>
        <item x="35"/>
        <item x="17"/>
        <item x="41"/>
        <item x="28"/>
        <item x="34"/>
        <item x="21"/>
        <item x="5"/>
        <item x="18"/>
        <item x="7"/>
        <item x="16"/>
        <item x="15"/>
        <item x="13"/>
        <item x="14"/>
        <item x="30"/>
        <item x="1"/>
        <item x="11"/>
        <item x="36"/>
        <item x="39"/>
        <item x="23"/>
        <item x="4"/>
        <item x="40"/>
        <item h="1" x="42"/>
        <item t="default"/>
      </items>
    </pivotField>
    <pivotField showAll="0"/>
    <pivotField dataField="1" showAll="0">
      <items count="52">
        <item x="38"/>
        <item x="30"/>
        <item x="49"/>
        <item x="21"/>
        <item x="34"/>
        <item x="40"/>
        <item x="8"/>
        <item x="24"/>
        <item x="31"/>
        <item x="33"/>
        <item x="36"/>
        <item x="47"/>
        <item x="45"/>
        <item x="5"/>
        <item x="7"/>
        <item x="6"/>
        <item x="19"/>
        <item x="35"/>
        <item x="39"/>
        <item x="44"/>
        <item x="26"/>
        <item x="32"/>
        <item x="2"/>
        <item x="20"/>
        <item x="25"/>
        <item x="17"/>
        <item x="48"/>
        <item x="28"/>
        <item x="41"/>
        <item x="13"/>
        <item x="18"/>
        <item x="46"/>
        <item x="29"/>
        <item x="11"/>
        <item x="9"/>
        <item x="10"/>
        <item x="12"/>
        <item x="43"/>
        <item x="14"/>
        <item x="0"/>
        <item x="23"/>
        <item x="3"/>
        <item x="16"/>
        <item x="37"/>
        <item x="15"/>
        <item x="1"/>
        <item x="42"/>
        <item x="22"/>
        <item x="4"/>
        <item x="27"/>
        <item x="50"/>
        <item t="default"/>
      </items>
    </pivotField>
    <pivotField axis="axisCol" showAll="0">
      <items count="7">
        <item x="2"/>
        <item x="3"/>
        <item x="0"/>
        <item x="4"/>
        <item x="1"/>
        <item h="1"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6"/>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9"/>
  </colFields>
  <colItems count="6">
    <i>
      <x/>
    </i>
    <i>
      <x v="1"/>
    </i>
    <i>
      <x v="2"/>
    </i>
    <i>
      <x v="3"/>
    </i>
    <i>
      <x v="4"/>
    </i>
    <i t="grand">
      <x/>
    </i>
  </colItems>
  <dataFields count="1">
    <dataField name="Sum of Monthly Salary (INR)" fld="8" baseField="0" baseItem="0"/>
  </dataFields>
  <formats count="10">
    <format dxfId="25">
      <pivotArea type="all" dataOnly="0" outline="0" fieldPosition="0"/>
    </format>
    <format dxfId="24">
      <pivotArea outline="0" collapsedLevelsAreSubtotals="1" fieldPosition="0"/>
    </format>
    <format dxfId="23">
      <pivotArea type="origin" dataOnly="0" labelOnly="1" outline="0" fieldPosition="0"/>
    </format>
    <format dxfId="22">
      <pivotArea field="9" type="button" dataOnly="0" labelOnly="1" outline="0" axis="axisCol" fieldPosition="0"/>
    </format>
    <format dxfId="21">
      <pivotArea type="topRight" dataOnly="0" labelOnly="1" outline="0" fieldPosition="0"/>
    </format>
    <format dxfId="20">
      <pivotArea field="6" type="button" dataOnly="0" labelOnly="1" outline="0" axis="axisRow" fieldPosition="0"/>
    </format>
    <format dxfId="19">
      <pivotArea dataOnly="0" labelOnly="1" fieldPosition="0">
        <references count="1">
          <reference field="6" count="42">
            <x v="0"/>
            <x v="1"/>
            <x v="2"/>
            <x v="3"/>
            <x v="4"/>
            <x v="5"/>
            <x v="6"/>
            <x v="7"/>
            <x v="8"/>
            <x v="9"/>
            <x v="10"/>
            <x v="11"/>
            <x v="12"/>
            <x v="13"/>
            <x v="14"/>
            <x v="15"/>
            <x v="16"/>
            <x v="17"/>
            <x v="18"/>
            <x v="19"/>
            <x v="20"/>
            <x v="21"/>
            <x v="22"/>
            <x v="23"/>
            <x v="24"/>
            <x v="25"/>
            <x v="26"/>
            <x v="27"/>
            <x v="28"/>
            <x v="29"/>
            <x v="30"/>
            <x v="31"/>
            <x v="32"/>
            <x v="33"/>
            <x v="34"/>
            <x v="35"/>
            <x v="36"/>
            <x v="37"/>
            <x v="38"/>
            <x v="39"/>
            <x v="40"/>
            <x v="41"/>
          </reference>
        </references>
      </pivotArea>
    </format>
    <format dxfId="18">
      <pivotArea dataOnly="0" labelOnly="1" grandRow="1" outline="0" fieldPosition="0"/>
    </format>
    <format dxfId="17">
      <pivotArea dataOnly="0" labelOnly="1" fieldPosition="0">
        <references count="1">
          <reference field="9" count="0"/>
        </references>
      </pivotArea>
    </format>
    <format dxfId="16">
      <pivotArea dataOnly="0" labelOnly="1" grandCol="1" outline="0" fieldPosition="0"/>
    </format>
  </formats>
  <chartFormats count="5">
    <chartFormat chart="2" format="0" series="1">
      <pivotArea type="data" outline="0" fieldPosition="0">
        <references count="2">
          <reference field="4294967294" count="1" selected="0">
            <x v="0"/>
          </reference>
          <reference field="9" count="1" selected="0">
            <x v="0"/>
          </reference>
        </references>
      </pivotArea>
    </chartFormat>
    <chartFormat chart="2" format="1" series="1">
      <pivotArea type="data" outline="0" fieldPosition="0">
        <references count="2">
          <reference field="4294967294" count="1" selected="0">
            <x v="0"/>
          </reference>
          <reference field="9" count="1" selected="0">
            <x v="1"/>
          </reference>
        </references>
      </pivotArea>
    </chartFormat>
    <chartFormat chart="2" format="2" series="1">
      <pivotArea type="data" outline="0" fieldPosition="0">
        <references count="2">
          <reference field="4294967294" count="1" selected="0">
            <x v="0"/>
          </reference>
          <reference field="9" count="1" selected="0">
            <x v="2"/>
          </reference>
        </references>
      </pivotArea>
    </chartFormat>
    <chartFormat chart="2" format="3" series="1">
      <pivotArea type="data" outline="0" fieldPosition="0">
        <references count="2">
          <reference field="4294967294" count="1" selected="0">
            <x v="0"/>
          </reference>
          <reference field="9" count="1" selected="0">
            <x v="3"/>
          </reference>
        </references>
      </pivotArea>
    </chartFormat>
    <chartFormat chart="2" format="4" series="1">
      <pivotArea type="data" outline="0" fieldPosition="0">
        <references count="2">
          <reference field="4294967294" count="1" selected="0">
            <x v="0"/>
          </reference>
          <reference field="9" count="1" selected="0">
            <x v="4"/>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68B5F-FFC6-432E-BE1A-043596903D6C}" name="Budge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3:H12" firstHeaderRow="1" firstDataRow="2" firstDataCol="1"/>
  <pivotFields count="15">
    <pivotField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axis="axisRow" showAll="0">
      <items count="9">
        <item x="0"/>
        <item x="5"/>
        <item x="2"/>
        <item x="1"/>
        <item x="3"/>
        <item x="4"/>
        <item x="6"/>
        <item h="1" x="7"/>
        <item t="default"/>
      </items>
    </pivotField>
    <pivotField showAll="0">
      <items count="8">
        <item x="4"/>
        <item x="5"/>
        <item x="3"/>
        <item x="1"/>
        <item x="2"/>
        <item x="0"/>
        <item x="6"/>
        <item t="default"/>
      </items>
    </pivotField>
    <pivotField axis="axisCol" showAll="0">
      <items count="8">
        <item x="5"/>
        <item x="2"/>
        <item x="3"/>
        <item x="0"/>
        <item x="1"/>
        <item x="4"/>
        <item h="1" x="6"/>
        <item t="default"/>
      </items>
    </pivotField>
    <pivotField showAll="0">
      <items count="52">
        <item x="20"/>
        <item x="12"/>
        <item x="24"/>
        <item x="44"/>
        <item x="21"/>
        <item x="38"/>
        <item x="46"/>
        <item x="4"/>
        <item x="0"/>
        <item x="35"/>
        <item x="17"/>
        <item x="39"/>
        <item x="18"/>
        <item x="1"/>
        <item x="11"/>
        <item x="27"/>
        <item x="5"/>
        <item x="7"/>
        <item x="22"/>
        <item x="40"/>
        <item x="49"/>
        <item x="30"/>
        <item x="13"/>
        <item x="33"/>
        <item x="34"/>
        <item x="23"/>
        <item x="31"/>
        <item x="26"/>
        <item x="16"/>
        <item x="48"/>
        <item x="2"/>
        <item x="25"/>
        <item x="43"/>
        <item x="8"/>
        <item x="47"/>
        <item x="32"/>
        <item x="29"/>
        <item x="9"/>
        <item x="15"/>
        <item x="45"/>
        <item x="37"/>
        <item x="28"/>
        <item x="42"/>
        <item x="3"/>
        <item x="19"/>
        <item x="14"/>
        <item x="6"/>
        <item x="36"/>
        <item x="10"/>
        <item x="41"/>
        <item x="50"/>
        <item t="default"/>
      </items>
    </pivotField>
    <pivotField showAll="0"/>
    <pivotField showAll="0"/>
    <pivotField dataField="1" showAll="0">
      <items count="52">
        <item x="38"/>
        <item x="30"/>
        <item x="49"/>
        <item x="21"/>
        <item x="34"/>
        <item x="40"/>
        <item x="8"/>
        <item x="24"/>
        <item x="31"/>
        <item x="33"/>
        <item x="36"/>
        <item x="47"/>
        <item x="45"/>
        <item x="5"/>
        <item x="7"/>
        <item x="6"/>
        <item x="19"/>
        <item x="35"/>
        <item x="39"/>
        <item x="44"/>
        <item x="26"/>
        <item x="32"/>
        <item x="2"/>
        <item x="20"/>
        <item x="25"/>
        <item x="17"/>
        <item x="48"/>
        <item x="28"/>
        <item x="41"/>
        <item x="13"/>
        <item x="18"/>
        <item x="46"/>
        <item x="29"/>
        <item x="11"/>
        <item x="9"/>
        <item x="10"/>
        <item x="12"/>
        <item x="43"/>
        <item x="14"/>
        <item x="0"/>
        <item x="23"/>
        <item x="3"/>
        <item x="16"/>
        <item x="37"/>
        <item x="15"/>
        <item x="1"/>
        <item x="42"/>
        <item x="22"/>
        <item x="4"/>
        <item x="27"/>
        <item x="5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8">
    <i>
      <x/>
    </i>
    <i>
      <x v="1"/>
    </i>
    <i>
      <x v="2"/>
    </i>
    <i>
      <x v="3"/>
    </i>
    <i>
      <x v="4"/>
    </i>
    <i>
      <x v="5"/>
    </i>
    <i>
      <x v="6"/>
    </i>
    <i t="grand">
      <x/>
    </i>
  </rowItems>
  <colFields count="1">
    <field x="4"/>
  </colFields>
  <colItems count="7">
    <i>
      <x/>
    </i>
    <i>
      <x v="1"/>
    </i>
    <i>
      <x v="2"/>
    </i>
    <i>
      <x v="3"/>
    </i>
    <i>
      <x v="4"/>
    </i>
    <i>
      <x v="5"/>
    </i>
    <i t="grand">
      <x/>
    </i>
  </colItems>
  <dataFields count="1">
    <dataField name="Sum of Monthly Salary (INR)" fld="8" baseField="0" baseItem="0"/>
  </dataFields>
  <formats count="10">
    <format dxfId="35">
      <pivotArea type="all" dataOnly="0" outline="0" fieldPosition="0"/>
    </format>
    <format dxfId="34">
      <pivotArea outline="0" collapsedLevelsAreSubtotals="1" fieldPosition="0"/>
    </format>
    <format dxfId="33">
      <pivotArea type="origin" dataOnly="0" labelOnly="1" outline="0" fieldPosition="0"/>
    </format>
    <format dxfId="32">
      <pivotArea field="4" type="button" dataOnly="0" labelOnly="1" outline="0" axis="axisCol" fieldPosition="0"/>
    </format>
    <format dxfId="31">
      <pivotArea type="topRight" dataOnly="0" labelOnly="1" outline="0"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fieldPosition="0">
        <references count="1">
          <reference field="4" count="6">
            <x v="0"/>
            <x v="1"/>
            <x v="2"/>
            <x v="3"/>
            <x v="4"/>
            <x v="5"/>
          </reference>
        </references>
      </pivotArea>
    </format>
    <format dxfId="26">
      <pivotArea dataOnly="0" labelOnly="1" grandCol="1" outline="0"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C085BB-BBC1-4EB8-B020-B931EC24FD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A96" firstHeaderRow="1" firstDataRow="1" firstDataCol="1"/>
  <pivotFields count="15">
    <pivotField showAll="0"/>
    <pivotField showAll="0"/>
    <pivotField showAll="0"/>
    <pivotField showAll="0">
      <items count="8">
        <item x="4"/>
        <item x="5"/>
        <item x="3"/>
        <item x="1"/>
        <item x="2"/>
        <item x="0"/>
        <item x="6"/>
        <item t="default"/>
      </items>
    </pivotField>
    <pivotField axis="axisRow" showAll="0">
      <items count="8">
        <item x="5"/>
        <item x="2"/>
        <item x="3"/>
        <item x="0"/>
        <item x="1"/>
        <item x="4"/>
        <item x="6"/>
        <item t="default"/>
      </items>
    </pivotField>
    <pivotField showAll="0">
      <items count="52">
        <item x="20"/>
        <item x="12"/>
        <item x="24"/>
        <item x="44"/>
        <item x="21"/>
        <item x="38"/>
        <item x="46"/>
        <item x="4"/>
        <item x="0"/>
        <item x="35"/>
        <item x="17"/>
        <item x="39"/>
        <item x="18"/>
        <item x="1"/>
        <item x="11"/>
        <item x="27"/>
        <item x="5"/>
        <item x="7"/>
        <item x="22"/>
        <item x="40"/>
        <item x="49"/>
        <item x="30"/>
        <item x="13"/>
        <item x="33"/>
        <item x="34"/>
        <item x="23"/>
        <item x="31"/>
        <item x="26"/>
        <item x="16"/>
        <item x="48"/>
        <item x="2"/>
        <item x="25"/>
        <item x="43"/>
        <item x="8"/>
        <item x="47"/>
        <item x="32"/>
        <item x="29"/>
        <item x="9"/>
        <item x="15"/>
        <item x="45"/>
        <item x="37"/>
        <item x="28"/>
        <item x="42"/>
        <item x="3"/>
        <item x="19"/>
        <item x="14"/>
        <item x="6"/>
        <item x="36"/>
        <item x="10"/>
        <item x="41"/>
        <item x="50"/>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sd="0" x="0"/>
        <item sd="0" x="1"/>
        <item sd="0" x="2"/>
        <item sd="0" x="3"/>
        <item sd="0" x="4"/>
        <item sd="0" x="5"/>
        <item sd="0" x="6"/>
        <item sd="0" x="7"/>
        <item sd="0" x="8"/>
        <item sd="0" x="9"/>
        <item sd="0" x="10"/>
        <item sd="0" x="11"/>
        <item t="default"/>
      </items>
    </pivotField>
  </pivotFields>
  <rowFields count="1">
    <field x="4"/>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54C0CD-79D8-457F-AFEE-97C49C45BB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partment">
  <location ref="A75:E84" firstHeaderRow="1" firstDataRow="2" firstDataCol="1"/>
  <pivotFields count="15">
    <pivotField dataField="1"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axis="axisRow" showAll="0">
      <items count="9">
        <item x="0"/>
        <item x="5"/>
        <item x="2"/>
        <item x="1"/>
        <item x="3"/>
        <item x="4"/>
        <item x="6"/>
        <item h="1" x="7"/>
        <item t="default"/>
      </items>
    </pivotField>
    <pivotField showAll="0"/>
    <pivotField showAll="0"/>
    <pivotField showAll="0">
      <items count="52">
        <item x="20"/>
        <item x="12"/>
        <item x="24"/>
        <item x="44"/>
        <item x="21"/>
        <item x="38"/>
        <item x="46"/>
        <item x="4"/>
        <item x="0"/>
        <item x="35"/>
        <item x="17"/>
        <item x="39"/>
        <item x="18"/>
        <item x="1"/>
        <item x="11"/>
        <item x="27"/>
        <item x="5"/>
        <item x="7"/>
        <item x="22"/>
        <item x="40"/>
        <item x="49"/>
        <item x="30"/>
        <item x="13"/>
        <item x="33"/>
        <item x="34"/>
        <item x="23"/>
        <item x="31"/>
        <item x="26"/>
        <item x="16"/>
        <item x="48"/>
        <item x="2"/>
        <item x="25"/>
        <item x="43"/>
        <item x="8"/>
        <item x="47"/>
        <item x="32"/>
        <item x="29"/>
        <item x="9"/>
        <item x="15"/>
        <item x="45"/>
        <item x="37"/>
        <item x="28"/>
        <item x="42"/>
        <item x="3"/>
        <item x="19"/>
        <item x="14"/>
        <item x="6"/>
        <item x="36"/>
        <item x="10"/>
        <item x="41"/>
        <item x="50"/>
        <item t="default"/>
      </items>
    </pivotField>
    <pivotField showAll="0"/>
    <pivotField axis="axisCol" showAll="0">
      <items count="5">
        <item x="2"/>
        <item x="1"/>
        <item x="0"/>
        <item h="1"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2"/>
  </rowFields>
  <rowItems count="8">
    <i>
      <x/>
    </i>
    <i>
      <x v="1"/>
    </i>
    <i>
      <x v="2"/>
    </i>
    <i>
      <x v="3"/>
    </i>
    <i>
      <x v="4"/>
    </i>
    <i>
      <x v="5"/>
    </i>
    <i>
      <x v="6"/>
    </i>
    <i t="grand">
      <x/>
    </i>
  </rowItems>
  <colFields count="1">
    <field x="7"/>
  </colFields>
  <colItems count="4">
    <i>
      <x/>
    </i>
    <i>
      <x v="1"/>
    </i>
    <i>
      <x v="2"/>
    </i>
    <i t="grand">
      <x/>
    </i>
  </colItems>
  <dataFields count="1">
    <dataField name="Count of Employee ID" fld="0" subtotal="count" baseField="0" baseItem="0"/>
  </dataFields>
  <formats count="10">
    <format dxfId="45">
      <pivotArea type="all" dataOnly="0" outline="0" fieldPosition="0"/>
    </format>
    <format dxfId="44">
      <pivotArea outline="0" collapsedLevelsAreSubtotals="1" fieldPosition="0"/>
    </format>
    <format dxfId="43">
      <pivotArea type="origin" dataOnly="0" labelOnly="1" outline="0" fieldPosition="0"/>
    </format>
    <format dxfId="42">
      <pivotArea field="7" type="button" dataOnly="0" labelOnly="1" outline="0" axis="axisCol" fieldPosition="0"/>
    </format>
    <format dxfId="41">
      <pivotArea type="topRight" dataOnly="0" labelOnly="1" outline="0"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fieldPosition="0">
        <references count="1">
          <reference field="7" count="0"/>
        </references>
      </pivotArea>
    </format>
    <format dxfId="36">
      <pivotArea dataOnly="0" labelOnly="1" grandCol="1" outline="0" fieldPosition="0"/>
    </format>
  </formats>
  <chartFormats count="5">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F87F6A0-DFB9-46E5-8A04-97202B6FE86D}" sourceName="Department">
  <pivotTables>
    <pivotTable tabId="2" name="Budgeting"/>
  </pivotTables>
  <data>
    <tabular pivotCacheId="1256047390">
      <items count="8">
        <i x="0" s="1"/>
        <i x="5" s="1"/>
        <i x="2" s="1"/>
        <i x="1" s="1"/>
        <i x="3" s="1"/>
        <i x="4" s="1"/>
        <i x="6" s="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5AD0222-7608-4D85-A4B8-1B1DC1DE9602}" sourceName="Location">
  <pivotTables>
    <pivotTable tabId="2" name="Budgeting"/>
  </pivotTables>
  <data>
    <tabular pivotCacheId="1256047390">
      <items count="7">
        <i x="5" s="1"/>
        <i x="2" s="1"/>
        <i x="3" s="1"/>
        <i x="0" s="1"/>
        <i x="1" s="1"/>
        <i x="4" s="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_Years" xr10:uid="{912A65F4-3142-4A67-A2A8-7E64655B5F1F}" sourceName="Experience (Years)">
  <pivotTables>
    <pivotTable tabId="2" name="PivotTable2"/>
  </pivotTables>
  <data>
    <tabular pivotCacheId="1256047390">
      <items count="43">
        <i x="32" s="1"/>
        <i x="8" s="1"/>
        <i x="0" s="1"/>
        <i x="9" s="1"/>
        <i x="12" s="1"/>
        <i x="37" s="1"/>
        <i x="25" s="1"/>
        <i x="20" s="1"/>
        <i x="3" s="1"/>
        <i x="38" s="1"/>
        <i x="2" s="1"/>
        <i x="31" s="1"/>
        <i x="24" s="1"/>
        <i x="10" s="1"/>
        <i x="33" s="1"/>
        <i x="19" s="1"/>
        <i x="29" s="1"/>
        <i x="22" s="1"/>
        <i x="26" s="1"/>
        <i x="6" s="1"/>
        <i x="27" s="1"/>
        <i x="35" s="1"/>
        <i x="17" s="1"/>
        <i x="41" s="1"/>
        <i x="28" s="1"/>
        <i x="34" s="1"/>
        <i x="21" s="1"/>
        <i x="5" s="1"/>
        <i x="18" s="1"/>
        <i x="7" s="1"/>
        <i x="16" s="1"/>
        <i x="15" s="1"/>
        <i x="13" s="1"/>
        <i x="14" s="1"/>
        <i x="30" s="1"/>
        <i x="1" s="1"/>
        <i x="11" s="1"/>
        <i x="36" s="1"/>
        <i x="39" s="1"/>
        <i x="23" s="1"/>
        <i x="4" s="1"/>
        <i x="40" s="1"/>
        <i x="4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F65CC660-675E-4F69-BFA1-A9CDE9C5E8BE}" sourceName="Performance Rating">
  <pivotTables>
    <pivotTable tabId="2" name="PivotTable2"/>
  </pivotTables>
  <data>
    <tabular pivotCacheId="1256047390">
      <items count="6">
        <i x="2" s="1"/>
        <i x="3" s="1"/>
        <i x="0" s="1"/>
        <i x="4" s="1"/>
        <i x="1" s="1"/>
        <i x="5"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_Name" xr10:uid="{F8F984BD-79D8-4376-B92C-2C823D0FFB60}" sourceName="Manager Name">
  <pivotTables>
    <pivotTable tabId="2" name="PivotTable3"/>
  </pivotTables>
  <data>
    <tabular pivotCacheId="1256047390">
      <items count="5">
        <i x="1" s="1"/>
        <i x="0" s="1"/>
        <i x="3" s="1"/>
        <i x="2" s="1"/>
        <i x="4"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718FA4C3-0F69-4A13-AE8B-981CDE1AB6BE}" sourceName="Work Mode">
  <pivotTables>
    <pivotTable tabId="2" name="PivotTable3"/>
  </pivotTables>
  <data>
    <tabular pivotCacheId="1256047390">
      <items count="4">
        <i x="1" s="1"/>
        <i x="0" s="1"/>
        <i x="2" s="1"/>
        <i x="3"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F7E120F3-D068-44BC-AC9E-AA24DA9F6120}" sourceName="Department">
  <pivotTables>
    <pivotTable tabId="2" name="PivotTable4"/>
  </pivotTables>
  <data>
    <tabular pivotCacheId="1256047390">
      <items count="8">
        <i x="0" s="1"/>
        <i x="5" s="1"/>
        <i x="2" s="1"/>
        <i x="1" s="1"/>
        <i x="3" s="1"/>
        <i x="4" s="1"/>
        <i x="6" s="1"/>
        <i x="7"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6027822E-24A9-49A9-8907-8025CC78527D}" sourceName="Employment Type">
  <pivotTables>
    <pivotTable tabId="2" name="PivotTable4"/>
  </pivotTables>
  <data>
    <tabular pivotCacheId="1256047390">
      <items count="4">
        <i x="2" s="1"/>
        <i x="1" s="1"/>
        <i x="0"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8671353-0B34-4C56-A25E-CC7DA1F1A8F3}" cache="Slicer_Department" caption="Department" startItem="5" style="SlicerStyleLight6" rowHeight="234950"/>
  <slicer name="Location" xr10:uid="{388D07E0-817A-43BB-AB47-341DFA2774E4}" cache="Slicer_Location" caption="Location" startItem="4" style="SlicerStyleLight6" rowHeight="234950"/>
  <slicer name="Experience (Years)" xr10:uid="{41CD74A4-B693-4A60-8963-3FB6ACCBAB9A}" cache="Slicer_Experience__Years" caption="Experience (Years)" startItem="4" style="SlicerStyleLight6" rowHeight="234950"/>
  <slicer name="Performance Rating" xr10:uid="{A5F294DF-BDAA-42BF-8CE7-C744688678CF}" cache="Slicer_Performance_Rating" caption="Performance Rating" startItem="2" style="SlicerStyleLight6" rowHeight="234950"/>
  <slicer name="Manager Name" xr10:uid="{C18B729D-9674-4944-9F2C-9214D0A9A472}" cache="Slicer_Manager_Name" caption="Manager Name" style="SlicerStyleLight6" rowHeight="234950"/>
  <slicer name="Work Mode" xr10:uid="{07669943-0225-4CCC-A268-0BFFA494181A}" cache="Slicer_Work_Mode" caption="Work Mode" style="SlicerStyleLight6" rowHeight="234950"/>
  <slicer name="Department 1" xr10:uid="{5C23CDA6-A121-4DD9-918D-A6CE0895840B}" cache="Slicer_Department1" caption="Department" startItem="3" style="SlicerStyleLight6" rowHeight="234950"/>
  <slicer name="Employment Type" xr10:uid="{B3677576-AF56-4122-A5CD-CA2464D4E747}" cache="Slicer_Employment_Type" caption="Employment Type"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57C966-DCFE-46FC-8800-D39738E91539}" name="Table1" displayName="Table1" ref="A1:L51" totalsRowShown="0">
  <autoFilter ref="A1:L51" xr:uid="{2557C966-DCFE-46FC-8800-D39738E91539}"/>
  <tableColumns count="12">
    <tableColumn id="1" xr3:uid="{BF82963B-533C-448A-A973-A90C1558D035}" name="Employee ID"/>
    <tableColumn id="2" xr3:uid="{FB8B7AEF-969D-4041-97C8-E0935BACF62E}" name="Employee Name"/>
    <tableColumn id="3" xr3:uid="{8D10AE6B-276B-45D9-8C0B-8CE6CCBE4F66}" name="Department"/>
    <tableColumn id="4" xr3:uid="{0D28FB54-9316-4E3D-A68B-F4F55E8F6235}" name="Job Title"/>
    <tableColumn id="5" xr3:uid="{06007A4F-F7B8-4EE3-BC4D-041DE950AAF9}" name="Location"/>
    <tableColumn id="6" xr3:uid="{B8EA8867-A572-4B65-9F76-FF810CF09450}" name="Date of Joining" dataDxfId="5"/>
    <tableColumn id="7" xr3:uid="{84BB5FAF-CA8D-4926-91DF-9652C346AD07}" name="Experience (Years)"/>
    <tableColumn id="8" xr3:uid="{73AB1C9D-A533-43F6-A050-353087BFF74F}" name="Employment Type"/>
    <tableColumn id="9" xr3:uid="{AF214991-5A70-496D-935B-22C88A74A761}" name="Monthly Salary (INR)"/>
    <tableColumn id="10" xr3:uid="{332A4530-B422-4680-B0F9-0BAFA7A4BB39}" name="Performance Rating"/>
    <tableColumn id="11" xr3:uid="{C5D366F8-7B51-491C-9645-A03786410060}" name="Manager Name"/>
    <tableColumn id="12" xr3:uid="{3F6189CA-7CDA-427B-9808-C43E84832142}" name="Work M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0638-4B31-4DCD-9616-7F6376C37F77}">
  <sheetPr codeName="Sheet1"/>
  <dimension ref="A3:H96"/>
  <sheetViews>
    <sheetView zoomScale="77" workbookViewId="0">
      <selection activeCell="G94" sqref="G94"/>
    </sheetView>
  </sheetViews>
  <sheetFormatPr defaultRowHeight="14.4" x14ac:dyDescent="0.3"/>
  <cols>
    <col min="1" max="1" width="13.33203125" bestFit="1" customWidth="1"/>
    <col min="2" max="2" width="16.109375" bestFit="1" customWidth="1"/>
    <col min="3" max="4" width="10.33203125" bestFit="1" customWidth="1"/>
    <col min="5" max="5" width="9.21875" bestFit="1" customWidth="1"/>
    <col min="6" max="7" width="10.33203125" bestFit="1" customWidth="1"/>
    <col min="8" max="8" width="11.33203125" bestFit="1" customWidth="1"/>
    <col min="9" max="9" width="9.21875" bestFit="1" customWidth="1"/>
    <col min="10" max="10" width="10.33203125" bestFit="1" customWidth="1"/>
    <col min="11" max="11" width="9.21875" bestFit="1" customWidth="1"/>
    <col min="12" max="16" width="10.33203125" bestFit="1" customWidth="1"/>
    <col min="17" max="17" width="9.21875" bestFit="1" customWidth="1"/>
    <col min="18" max="18" width="10.33203125" bestFit="1" customWidth="1"/>
    <col min="19" max="19" width="11.33203125" bestFit="1" customWidth="1"/>
    <col min="20" max="20" width="9.21875" bestFit="1" customWidth="1"/>
    <col min="21" max="21" width="10.33203125" bestFit="1" customWidth="1"/>
    <col min="22" max="23" width="9.21875" bestFit="1" customWidth="1"/>
    <col min="24" max="26" width="10.33203125" bestFit="1" customWidth="1"/>
    <col min="27" max="27" width="9.21875" bestFit="1" customWidth="1"/>
    <col min="28" max="29" width="10.33203125" bestFit="1" customWidth="1"/>
    <col min="30" max="30" width="11.33203125" bestFit="1" customWidth="1"/>
    <col min="31" max="38" width="10.33203125" bestFit="1" customWidth="1"/>
    <col min="39" max="39" width="11.33203125" bestFit="1" customWidth="1"/>
    <col min="40" max="47" width="10.33203125" bestFit="1" customWidth="1"/>
    <col min="48" max="49" width="11.33203125" bestFit="1" customWidth="1"/>
    <col min="50" max="50" width="9.21875" bestFit="1" customWidth="1"/>
    <col min="51" max="51" width="10.33203125" bestFit="1" customWidth="1"/>
    <col min="52" max="52" width="7" bestFit="1" customWidth="1"/>
    <col min="53" max="53" width="10.77734375" bestFit="1" customWidth="1"/>
  </cols>
  <sheetData>
    <row r="3" spans="1:8" x14ac:dyDescent="0.3">
      <c r="A3" s="3" t="s">
        <v>128</v>
      </c>
      <c r="B3" s="3" t="s">
        <v>129</v>
      </c>
      <c r="C3" s="2"/>
      <c r="D3" s="2"/>
      <c r="E3" s="2"/>
      <c r="F3" s="2"/>
      <c r="G3" s="2"/>
      <c r="H3" s="2"/>
    </row>
    <row r="4" spans="1:8" x14ac:dyDescent="0.3">
      <c r="A4" s="3" t="s">
        <v>2</v>
      </c>
      <c r="B4" s="2" t="s">
        <v>72</v>
      </c>
      <c r="C4" s="2" t="s">
        <v>31</v>
      </c>
      <c r="D4" s="2" t="s">
        <v>48</v>
      </c>
      <c r="E4" s="2" t="s">
        <v>16</v>
      </c>
      <c r="F4" s="2" t="s">
        <v>23</v>
      </c>
      <c r="G4" s="2" t="s">
        <v>61</v>
      </c>
      <c r="H4" s="2" t="s">
        <v>127</v>
      </c>
    </row>
    <row r="5" spans="1:8" x14ac:dyDescent="0.3">
      <c r="A5" s="2" t="s">
        <v>14</v>
      </c>
      <c r="B5" s="4">
        <v>106041</v>
      </c>
      <c r="C5" s="4">
        <v>86194</v>
      </c>
      <c r="D5" s="4">
        <v>80257</v>
      </c>
      <c r="E5" s="4">
        <v>103723</v>
      </c>
      <c r="F5" s="4">
        <v>209266</v>
      </c>
      <c r="G5" s="4"/>
      <c r="H5" s="4">
        <v>585481</v>
      </c>
    </row>
    <row r="6" spans="1:8" x14ac:dyDescent="0.3">
      <c r="A6" s="2" t="s">
        <v>64</v>
      </c>
      <c r="B6" s="4"/>
      <c r="C6" s="4">
        <v>27329</v>
      </c>
      <c r="D6" s="4"/>
      <c r="E6" s="4">
        <v>81286</v>
      </c>
      <c r="F6" s="4">
        <v>121800</v>
      </c>
      <c r="G6" s="4">
        <v>68778</v>
      </c>
      <c r="H6" s="4">
        <v>299193</v>
      </c>
    </row>
    <row r="7" spans="1:8" x14ac:dyDescent="0.3">
      <c r="A7" s="2" t="s">
        <v>29</v>
      </c>
      <c r="B7" s="4"/>
      <c r="C7" s="4">
        <v>438508</v>
      </c>
      <c r="D7" s="4">
        <v>35145</v>
      </c>
      <c r="E7" s="4"/>
      <c r="F7" s="4"/>
      <c r="G7" s="4">
        <v>113987</v>
      </c>
      <c r="H7" s="4">
        <v>587640</v>
      </c>
    </row>
    <row r="8" spans="1:8" x14ac:dyDescent="0.3">
      <c r="A8" s="2" t="s">
        <v>22</v>
      </c>
      <c r="B8" s="4"/>
      <c r="C8" s="4">
        <v>222678</v>
      </c>
      <c r="D8" s="4">
        <v>123512</v>
      </c>
      <c r="E8" s="4"/>
      <c r="F8" s="4">
        <v>350517</v>
      </c>
      <c r="G8" s="4"/>
      <c r="H8" s="4">
        <v>696707</v>
      </c>
    </row>
    <row r="9" spans="1:8" x14ac:dyDescent="0.3">
      <c r="A9" s="2" t="s">
        <v>47</v>
      </c>
      <c r="B9" s="4">
        <v>109896</v>
      </c>
      <c r="C9" s="4">
        <v>113152</v>
      </c>
      <c r="D9" s="4">
        <v>56552</v>
      </c>
      <c r="E9" s="4">
        <v>28317</v>
      </c>
      <c r="F9" s="4">
        <v>59780</v>
      </c>
      <c r="G9" s="4"/>
      <c r="H9" s="4">
        <v>367697</v>
      </c>
    </row>
    <row r="10" spans="1:8" x14ac:dyDescent="0.3">
      <c r="A10" s="2" t="s">
        <v>60</v>
      </c>
      <c r="B10" s="4">
        <v>107320</v>
      </c>
      <c r="C10" s="4"/>
      <c r="D10" s="4"/>
      <c r="E10" s="4">
        <v>248252</v>
      </c>
      <c r="F10" s="4">
        <v>78774</v>
      </c>
      <c r="G10" s="4">
        <v>91056</v>
      </c>
      <c r="H10" s="4">
        <v>525402</v>
      </c>
    </row>
    <row r="11" spans="1:8" x14ac:dyDescent="0.3">
      <c r="A11" s="2" t="s">
        <v>69</v>
      </c>
      <c r="B11" s="4"/>
      <c r="C11" s="4">
        <v>108785</v>
      </c>
      <c r="D11" s="4">
        <v>98109</v>
      </c>
      <c r="E11" s="4"/>
      <c r="F11" s="4">
        <v>181284</v>
      </c>
      <c r="G11" s="4">
        <v>129796</v>
      </c>
      <c r="H11" s="4">
        <v>517974</v>
      </c>
    </row>
    <row r="12" spans="1:8" x14ac:dyDescent="0.3">
      <c r="A12" s="2" t="s">
        <v>127</v>
      </c>
      <c r="B12" s="4">
        <v>323257</v>
      </c>
      <c r="C12" s="4">
        <v>996646</v>
      </c>
      <c r="D12" s="4">
        <v>393575</v>
      </c>
      <c r="E12" s="4">
        <v>461578</v>
      </c>
      <c r="F12" s="4">
        <v>1001421</v>
      </c>
      <c r="G12" s="4">
        <v>403617</v>
      </c>
      <c r="H12" s="4">
        <v>3580094</v>
      </c>
    </row>
    <row r="15" spans="1:8" x14ac:dyDescent="0.3">
      <c r="A15" s="2"/>
      <c r="B15" s="2"/>
      <c r="C15" s="2"/>
      <c r="D15" s="2"/>
      <c r="E15" s="2"/>
      <c r="F15" s="2"/>
      <c r="G15" s="2"/>
    </row>
    <row r="16" spans="1:8" x14ac:dyDescent="0.3">
      <c r="A16" s="3" t="s">
        <v>128</v>
      </c>
      <c r="B16" s="3" t="s">
        <v>129</v>
      </c>
      <c r="C16" s="2"/>
      <c r="D16" s="2"/>
      <c r="E16" s="2"/>
      <c r="F16" s="2"/>
      <c r="G16" s="2"/>
    </row>
    <row r="17" spans="1:7" x14ac:dyDescent="0.3">
      <c r="A17" s="3" t="s">
        <v>131</v>
      </c>
      <c r="B17" s="2">
        <v>1</v>
      </c>
      <c r="C17" s="2">
        <v>2</v>
      </c>
      <c r="D17" s="2">
        <v>3</v>
      </c>
      <c r="E17" s="2">
        <v>4</v>
      </c>
      <c r="F17" s="2">
        <v>5</v>
      </c>
      <c r="G17" s="2" t="s">
        <v>127</v>
      </c>
    </row>
    <row r="18" spans="1:7" x14ac:dyDescent="0.3">
      <c r="A18" s="2">
        <v>0.8</v>
      </c>
      <c r="B18" s="4"/>
      <c r="C18" s="4"/>
      <c r="D18" s="4"/>
      <c r="E18" s="4">
        <v>34824</v>
      </c>
      <c r="F18" s="4"/>
      <c r="G18" s="4">
        <v>34824</v>
      </c>
    </row>
    <row r="19" spans="1:7" x14ac:dyDescent="0.3">
      <c r="A19" s="2">
        <v>0.9</v>
      </c>
      <c r="B19" s="4">
        <v>37361</v>
      </c>
      <c r="C19" s="4"/>
      <c r="D19" s="4"/>
      <c r="E19" s="4"/>
      <c r="F19" s="4"/>
      <c r="G19" s="4">
        <v>37361</v>
      </c>
    </row>
    <row r="20" spans="1:7" x14ac:dyDescent="0.3">
      <c r="A20" s="2">
        <v>1</v>
      </c>
      <c r="B20" s="4"/>
      <c r="C20" s="4"/>
      <c r="D20" s="4">
        <v>103723</v>
      </c>
      <c r="E20" s="4"/>
      <c r="F20" s="4"/>
      <c r="G20" s="4">
        <v>103723</v>
      </c>
    </row>
    <row r="21" spans="1:7" x14ac:dyDescent="0.3">
      <c r="A21" s="2">
        <v>1.1000000000000001</v>
      </c>
      <c r="B21" s="4"/>
      <c r="C21" s="4"/>
      <c r="D21" s="4">
        <v>113523</v>
      </c>
      <c r="E21" s="4"/>
      <c r="F21" s="4"/>
      <c r="G21" s="4">
        <v>113523</v>
      </c>
    </row>
    <row r="22" spans="1:7" x14ac:dyDescent="0.3">
      <c r="A22" s="2">
        <v>1.2</v>
      </c>
      <c r="B22" s="4"/>
      <c r="C22" s="4"/>
      <c r="D22" s="4">
        <v>91056</v>
      </c>
      <c r="E22" s="4"/>
      <c r="F22" s="4"/>
      <c r="G22" s="4">
        <v>91056</v>
      </c>
    </row>
    <row r="23" spans="1:7" x14ac:dyDescent="0.3">
      <c r="A23" s="2">
        <v>1.6</v>
      </c>
      <c r="B23" s="4"/>
      <c r="C23" s="4"/>
      <c r="D23" s="4">
        <v>113152</v>
      </c>
      <c r="E23" s="4"/>
      <c r="F23" s="4"/>
      <c r="G23" s="4">
        <v>113152</v>
      </c>
    </row>
    <row r="24" spans="1:7" x14ac:dyDescent="0.3">
      <c r="A24" s="2">
        <v>1.7</v>
      </c>
      <c r="B24" s="4">
        <v>68104</v>
      </c>
      <c r="C24" s="4"/>
      <c r="D24" s="4"/>
      <c r="E24" s="4"/>
      <c r="F24" s="4"/>
      <c r="G24" s="4">
        <v>68104</v>
      </c>
    </row>
    <row r="25" spans="1:7" x14ac:dyDescent="0.3">
      <c r="A25" s="2">
        <v>1.8</v>
      </c>
      <c r="B25" s="4">
        <v>67809</v>
      </c>
      <c r="C25" s="4"/>
      <c r="D25" s="4"/>
      <c r="E25" s="4"/>
      <c r="F25" s="4"/>
      <c r="G25" s="4">
        <v>67809</v>
      </c>
    </row>
    <row r="26" spans="1:7" x14ac:dyDescent="0.3">
      <c r="A26" s="2">
        <v>1.9</v>
      </c>
      <c r="B26" s="4">
        <v>107187</v>
      </c>
      <c r="C26" s="4"/>
      <c r="D26" s="4"/>
      <c r="E26" s="4">
        <v>44583</v>
      </c>
      <c r="F26" s="4"/>
      <c r="G26" s="4">
        <v>151770</v>
      </c>
    </row>
    <row r="27" spans="1:7" x14ac:dyDescent="0.3">
      <c r="A27" s="2">
        <v>2.5</v>
      </c>
      <c r="B27" s="4"/>
      <c r="C27" s="4"/>
      <c r="D27" s="4"/>
      <c r="E27" s="4"/>
      <c r="F27" s="4">
        <v>98109</v>
      </c>
      <c r="G27" s="4">
        <v>98109</v>
      </c>
    </row>
    <row r="28" spans="1:7" x14ac:dyDescent="0.3">
      <c r="A28" s="2">
        <v>2.8</v>
      </c>
      <c r="B28" s="4"/>
      <c r="C28" s="4"/>
      <c r="D28" s="4"/>
      <c r="E28" s="4">
        <v>28317</v>
      </c>
      <c r="F28" s="4">
        <v>67083</v>
      </c>
      <c r="G28" s="4">
        <v>95400</v>
      </c>
    </row>
    <row r="29" spans="1:7" x14ac:dyDescent="0.3">
      <c r="A29" s="2">
        <v>2.9</v>
      </c>
      <c r="B29" s="4">
        <v>106236</v>
      </c>
      <c r="C29" s="4"/>
      <c r="D29" s="4"/>
      <c r="E29" s="4"/>
      <c r="F29" s="4"/>
      <c r="G29" s="4">
        <v>106236</v>
      </c>
    </row>
    <row r="30" spans="1:7" x14ac:dyDescent="0.3">
      <c r="A30" s="2">
        <v>3.1</v>
      </c>
      <c r="B30" s="4"/>
      <c r="C30" s="4"/>
      <c r="D30" s="4"/>
      <c r="E30" s="4"/>
      <c r="F30" s="4">
        <v>37750</v>
      </c>
      <c r="G30" s="4">
        <v>37750</v>
      </c>
    </row>
    <row r="31" spans="1:7" x14ac:dyDescent="0.3">
      <c r="A31" s="2">
        <v>3.3</v>
      </c>
      <c r="B31" s="4"/>
      <c r="C31" s="4">
        <v>86865</v>
      </c>
      <c r="D31" s="4"/>
      <c r="E31" s="4"/>
      <c r="F31" s="4"/>
      <c r="G31" s="4">
        <v>86865</v>
      </c>
    </row>
    <row r="32" spans="1:7" x14ac:dyDescent="0.3">
      <c r="A32" s="2">
        <v>3.5</v>
      </c>
      <c r="B32" s="4"/>
      <c r="C32" s="4"/>
      <c r="D32" s="4"/>
      <c r="E32" s="4">
        <v>109529</v>
      </c>
      <c r="F32" s="4"/>
      <c r="G32" s="4">
        <v>109529</v>
      </c>
    </row>
    <row r="33" spans="1:7" x14ac:dyDescent="0.3">
      <c r="A33" s="2">
        <v>3.8</v>
      </c>
      <c r="B33" s="4"/>
      <c r="C33" s="4"/>
      <c r="D33" s="4">
        <v>59780</v>
      </c>
      <c r="E33" s="4"/>
      <c r="F33" s="4"/>
      <c r="G33" s="4">
        <v>59780</v>
      </c>
    </row>
    <row r="34" spans="1:7" x14ac:dyDescent="0.3">
      <c r="A34" s="2">
        <v>3.9</v>
      </c>
      <c r="B34" s="4"/>
      <c r="C34" s="4"/>
      <c r="D34" s="4">
        <v>40185</v>
      </c>
      <c r="E34" s="4"/>
      <c r="F34" s="4"/>
      <c r="G34" s="4">
        <v>40185</v>
      </c>
    </row>
    <row r="35" spans="1:7" x14ac:dyDescent="0.3">
      <c r="A35" s="2">
        <v>4</v>
      </c>
      <c r="B35" s="4"/>
      <c r="C35" s="4"/>
      <c r="D35" s="4">
        <v>113987</v>
      </c>
      <c r="E35" s="4"/>
      <c r="F35" s="4"/>
      <c r="G35" s="4">
        <v>113987</v>
      </c>
    </row>
    <row r="36" spans="1:7" x14ac:dyDescent="0.3">
      <c r="A36" s="2">
        <v>4.0999999999999996</v>
      </c>
      <c r="B36" s="4"/>
      <c r="C36" s="4"/>
      <c r="D36" s="4">
        <v>64210</v>
      </c>
      <c r="E36" s="4"/>
      <c r="F36" s="4"/>
      <c r="G36" s="4">
        <v>64210</v>
      </c>
    </row>
    <row r="37" spans="1:7" x14ac:dyDescent="0.3">
      <c r="A37" s="2">
        <v>4.3</v>
      </c>
      <c r="B37" s="4">
        <v>56870</v>
      </c>
      <c r="C37" s="4"/>
      <c r="D37" s="4"/>
      <c r="E37" s="4"/>
      <c r="F37" s="4"/>
      <c r="G37" s="4">
        <v>56870</v>
      </c>
    </row>
    <row r="38" spans="1:7" x14ac:dyDescent="0.3">
      <c r="A38" s="2">
        <v>4.4000000000000004</v>
      </c>
      <c r="B38" s="4"/>
      <c r="C38" s="4"/>
      <c r="D38" s="4"/>
      <c r="E38" s="4">
        <v>117145</v>
      </c>
      <c r="F38" s="4"/>
      <c r="G38" s="4">
        <v>117145</v>
      </c>
    </row>
    <row r="39" spans="1:7" x14ac:dyDescent="0.3">
      <c r="A39" s="2">
        <v>5</v>
      </c>
      <c r="B39" s="4"/>
      <c r="C39" s="4">
        <v>62524</v>
      </c>
      <c r="D39" s="4"/>
      <c r="E39" s="4"/>
      <c r="F39" s="4"/>
      <c r="G39" s="4">
        <v>62524</v>
      </c>
    </row>
    <row r="40" spans="1:7" x14ac:dyDescent="0.3">
      <c r="A40" s="2">
        <v>5.0999999999999996</v>
      </c>
      <c r="B40" s="4">
        <v>68778</v>
      </c>
      <c r="C40" s="4"/>
      <c r="D40" s="4"/>
      <c r="E40" s="4"/>
      <c r="F40" s="4"/>
      <c r="G40" s="4">
        <v>68778</v>
      </c>
    </row>
    <row r="41" spans="1:7" x14ac:dyDescent="0.3">
      <c r="A41" s="2">
        <v>5.5</v>
      </c>
      <c r="B41" s="4"/>
      <c r="C41" s="4"/>
      <c r="D41" s="4"/>
      <c r="E41" s="4"/>
      <c r="F41" s="4">
        <v>70717</v>
      </c>
      <c r="G41" s="4">
        <v>70717</v>
      </c>
    </row>
    <row r="42" spans="1:7" x14ac:dyDescent="0.3">
      <c r="A42" s="2">
        <v>6.1</v>
      </c>
      <c r="B42" s="4"/>
      <c r="C42" s="4"/>
      <c r="D42" s="4"/>
      <c r="E42" s="4">
        <v>71146</v>
      </c>
      <c r="F42" s="4"/>
      <c r="G42" s="4">
        <v>71146</v>
      </c>
    </row>
    <row r="43" spans="1:7" x14ac:dyDescent="0.3">
      <c r="A43" s="2">
        <v>6.2</v>
      </c>
      <c r="B43" s="4"/>
      <c r="C43" s="4"/>
      <c r="D43" s="4">
        <v>25328</v>
      </c>
      <c r="E43" s="4"/>
      <c r="F43" s="4"/>
      <c r="G43" s="4">
        <v>25328</v>
      </c>
    </row>
    <row r="44" spans="1:7" x14ac:dyDescent="0.3">
      <c r="A44" s="2">
        <v>6.3</v>
      </c>
      <c r="B44" s="4"/>
      <c r="C44" s="4"/>
      <c r="D44" s="4">
        <v>28537</v>
      </c>
      <c r="E44" s="4"/>
      <c r="F44" s="4"/>
      <c r="G44" s="4">
        <v>28537</v>
      </c>
    </row>
    <row r="45" spans="1:7" x14ac:dyDescent="0.3">
      <c r="A45" s="2">
        <v>6.4</v>
      </c>
      <c r="B45" s="4"/>
      <c r="C45" s="4"/>
      <c r="D45" s="4">
        <v>55924</v>
      </c>
      <c r="E45" s="4"/>
      <c r="F45" s="4"/>
      <c r="G45" s="4">
        <v>55924</v>
      </c>
    </row>
    <row r="46" spans="1:7" x14ac:dyDescent="0.3">
      <c r="A46" s="2">
        <v>7</v>
      </c>
      <c r="B46" s="4"/>
      <c r="C46" s="4">
        <v>77359</v>
      </c>
      <c r="D46" s="4"/>
      <c r="E46" s="4"/>
      <c r="F46" s="4"/>
      <c r="G46" s="4">
        <v>77359</v>
      </c>
    </row>
    <row r="47" spans="1:7" x14ac:dyDescent="0.3">
      <c r="A47" s="2">
        <v>7.4</v>
      </c>
      <c r="B47" s="4"/>
      <c r="C47" s="4">
        <v>56552</v>
      </c>
      <c r="D47" s="4"/>
      <c r="E47" s="4"/>
      <c r="F47" s="4">
        <v>60988</v>
      </c>
      <c r="G47" s="4">
        <v>117540</v>
      </c>
    </row>
    <row r="48" spans="1:7" x14ac:dyDescent="0.3">
      <c r="A48" s="2">
        <v>7.6</v>
      </c>
      <c r="B48" s="4"/>
      <c r="C48" s="4"/>
      <c r="D48" s="4">
        <v>81286</v>
      </c>
      <c r="E48" s="4">
        <v>107320</v>
      </c>
      <c r="F48" s="4"/>
      <c r="G48" s="4">
        <v>188606</v>
      </c>
    </row>
    <row r="49" spans="1:7" x14ac:dyDescent="0.3">
      <c r="A49" s="2">
        <v>7.7</v>
      </c>
      <c r="B49" s="4"/>
      <c r="C49" s="4"/>
      <c r="D49" s="4"/>
      <c r="E49" s="4">
        <v>110138</v>
      </c>
      <c r="F49" s="4"/>
      <c r="G49" s="4">
        <v>110138</v>
      </c>
    </row>
    <row r="50" spans="1:7" x14ac:dyDescent="0.3">
      <c r="A50" s="2">
        <v>7.9</v>
      </c>
      <c r="B50" s="4"/>
      <c r="C50" s="4"/>
      <c r="D50" s="4"/>
      <c r="E50" s="4"/>
      <c r="F50" s="4">
        <v>77217</v>
      </c>
      <c r="G50" s="4">
        <v>77217</v>
      </c>
    </row>
    <row r="51" spans="1:7" x14ac:dyDescent="0.3">
      <c r="A51" s="2">
        <v>8.3000000000000007</v>
      </c>
      <c r="B51" s="4"/>
      <c r="C51" s="4"/>
      <c r="D51" s="4">
        <v>103084</v>
      </c>
      <c r="E51" s="4"/>
      <c r="F51" s="4"/>
      <c r="G51" s="4">
        <v>103084</v>
      </c>
    </row>
    <row r="52" spans="1:7" x14ac:dyDescent="0.3">
      <c r="A52" s="2">
        <v>8.4</v>
      </c>
      <c r="B52" s="4"/>
      <c r="C52" s="4">
        <v>64283</v>
      </c>
      <c r="D52" s="4"/>
      <c r="E52" s="4"/>
      <c r="F52" s="4"/>
      <c r="G52" s="4">
        <v>64283</v>
      </c>
    </row>
    <row r="53" spans="1:7" x14ac:dyDescent="0.3">
      <c r="A53" s="2">
        <v>8.9</v>
      </c>
      <c r="B53" s="4"/>
      <c r="C53" s="4">
        <v>43609</v>
      </c>
      <c r="D53" s="4"/>
      <c r="E53" s="4"/>
      <c r="F53" s="4">
        <v>111683</v>
      </c>
      <c r="G53" s="4">
        <v>155292</v>
      </c>
    </row>
    <row r="54" spans="1:7" x14ac:dyDescent="0.3">
      <c r="A54" s="2">
        <v>9</v>
      </c>
      <c r="B54" s="4"/>
      <c r="C54" s="4"/>
      <c r="D54" s="4">
        <v>81679</v>
      </c>
      <c r="E54" s="4"/>
      <c r="F54" s="4"/>
      <c r="G54" s="4">
        <v>81679</v>
      </c>
    </row>
    <row r="55" spans="1:7" x14ac:dyDescent="0.3">
      <c r="A55" s="2">
        <v>9.3000000000000007</v>
      </c>
      <c r="B55" s="4"/>
      <c r="C55" s="4">
        <v>35145</v>
      </c>
      <c r="D55" s="4"/>
      <c r="E55" s="4"/>
      <c r="F55" s="4">
        <v>74528</v>
      </c>
      <c r="G55" s="4">
        <v>109673</v>
      </c>
    </row>
    <row r="56" spans="1:7" x14ac:dyDescent="0.3">
      <c r="A56" s="2">
        <v>9.4</v>
      </c>
      <c r="B56" s="4"/>
      <c r="C56" s="4"/>
      <c r="D56" s="4"/>
      <c r="E56" s="4"/>
      <c r="F56" s="4">
        <v>78774</v>
      </c>
      <c r="G56" s="4">
        <v>78774</v>
      </c>
    </row>
    <row r="57" spans="1:7" x14ac:dyDescent="0.3">
      <c r="A57" s="2">
        <v>9.6</v>
      </c>
      <c r="B57" s="4"/>
      <c r="C57" s="4"/>
      <c r="D57" s="4"/>
      <c r="E57" s="4"/>
      <c r="F57" s="4">
        <v>106041</v>
      </c>
      <c r="G57" s="4">
        <v>106041</v>
      </c>
    </row>
    <row r="58" spans="1:7" x14ac:dyDescent="0.3">
      <c r="A58" s="2">
        <v>9.9</v>
      </c>
      <c r="B58" s="4">
        <v>115491</v>
      </c>
      <c r="C58" s="4"/>
      <c r="D58" s="4"/>
      <c r="E58" s="4"/>
      <c r="F58" s="4"/>
      <c r="G58" s="4">
        <v>115491</v>
      </c>
    </row>
    <row r="59" spans="1:7" x14ac:dyDescent="0.3">
      <c r="A59" s="2">
        <v>10</v>
      </c>
      <c r="B59" s="4"/>
      <c r="C59" s="4"/>
      <c r="D59" s="4"/>
      <c r="E59" s="4">
        <v>44575</v>
      </c>
      <c r="F59" s="4"/>
      <c r="G59" s="4">
        <v>44575</v>
      </c>
    </row>
    <row r="60" spans="1:7" x14ac:dyDescent="0.3">
      <c r="A60" s="2" t="s">
        <v>127</v>
      </c>
      <c r="B60" s="4">
        <v>627836</v>
      </c>
      <c r="C60" s="4">
        <v>426337</v>
      </c>
      <c r="D60" s="4">
        <v>1075454</v>
      </c>
      <c r="E60" s="4">
        <v>667577</v>
      </c>
      <c r="F60" s="4">
        <v>782890</v>
      </c>
      <c r="G60" s="4">
        <v>3580094</v>
      </c>
    </row>
    <row r="64" spans="1:7" x14ac:dyDescent="0.3">
      <c r="A64" s="2"/>
      <c r="B64" s="2"/>
      <c r="C64" s="2"/>
      <c r="D64" s="2"/>
      <c r="E64" s="2"/>
    </row>
    <row r="65" spans="1:5" x14ac:dyDescent="0.3">
      <c r="A65" s="3" t="s">
        <v>130</v>
      </c>
      <c r="B65" s="3" t="s">
        <v>129</v>
      </c>
      <c r="C65" s="2"/>
      <c r="D65" s="2"/>
      <c r="E65" s="2"/>
    </row>
    <row r="66" spans="1:5" x14ac:dyDescent="0.3">
      <c r="A66" s="3" t="s">
        <v>132</v>
      </c>
      <c r="B66" s="2" t="s">
        <v>26</v>
      </c>
      <c r="C66" s="2" t="s">
        <v>19</v>
      </c>
      <c r="D66" s="2" t="s">
        <v>33</v>
      </c>
      <c r="E66" s="2" t="s">
        <v>127</v>
      </c>
    </row>
    <row r="67" spans="1:5" x14ac:dyDescent="0.3">
      <c r="A67" s="2" t="s">
        <v>25</v>
      </c>
      <c r="B67" s="4">
        <v>5</v>
      </c>
      <c r="C67" s="4">
        <v>7</v>
      </c>
      <c r="D67" s="4">
        <v>2</v>
      </c>
      <c r="E67" s="4">
        <v>14</v>
      </c>
    </row>
    <row r="68" spans="1:5" x14ac:dyDescent="0.3">
      <c r="A68" s="2" t="s">
        <v>18</v>
      </c>
      <c r="B68" s="4">
        <v>4</v>
      </c>
      <c r="C68" s="4">
        <v>7</v>
      </c>
      <c r="D68" s="4">
        <v>2</v>
      </c>
      <c r="E68" s="4">
        <v>13</v>
      </c>
    </row>
    <row r="69" spans="1:5" x14ac:dyDescent="0.3">
      <c r="A69" s="2" t="s">
        <v>53</v>
      </c>
      <c r="B69" s="4">
        <v>1</v>
      </c>
      <c r="C69" s="4">
        <v>9</v>
      </c>
      <c r="D69" s="4">
        <v>4</v>
      </c>
      <c r="E69" s="4">
        <v>14</v>
      </c>
    </row>
    <row r="70" spans="1:5" x14ac:dyDescent="0.3">
      <c r="A70" s="2" t="s">
        <v>32</v>
      </c>
      <c r="B70" s="4">
        <v>4</v>
      </c>
      <c r="C70" s="4">
        <v>2</v>
      </c>
      <c r="D70" s="4">
        <v>3</v>
      </c>
      <c r="E70" s="4">
        <v>9</v>
      </c>
    </row>
    <row r="71" spans="1:5" x14ac:dyDescent="0.3">
      <c r="A71" s="2" t="s">
        <v>127</v>
      </c>
      <c r="B71" s="4">
        <v>14</v>
      </c>
      <c r="C71" s="4">
        <v>25</v>
      </c>
      <c r="D71" s="4">
        <v>11</v>
      </c>
      <c r="E71" s="4">
        <v>50</v>
      </c>
    </row>
    <row r="74" spans="1:5" x14ac:dyDescent="0.3">
      <c r="A74" s="2"/>
      <c r="B74" s="2"/>
      <c r="C74" s="2"/>
      <c r="D74" s="2"/>
      <c r="E74" s="2"/>
    </row>
    <row r="75" spans="1:5" x14ac:dyDescent="0.3">
      <c r="A75" s="3" t="s">
        <v>130</v>
      </c>
      <c r="B75" s="3" t="s">
        <v>129</v>
      </c>
      <c r="C75" s="2"/>
      <c r="D75" s="2"/>
      <c r="E75" s="2"/>
    </row>
    <row r="76" spans="1:5" x14ac:dyDescent="0.3">
      <c r="A76" s="3" t="s">
        <v>2</v>
      </c>
      <c r="B76" s="2" t="s">
        <v>36</v>
      </c>
      <c r="C76" s="2" t="s">
        <v>24</v>
      </c>
      <c r="D76" s="2" t="s">
        <v>17</v>
      </c>
      <c r="E76" s="2" t="s">
        <v>127</v>
      </c>
    </row>
    <row r="77" spans="1:5" x14ac:dyDescent="0.3">
      <c r="A77" s="2" t="s">
        <v>14</v>
      </c>
      <c r="B77" s="4">
        <v>1</v>
      </c>
      <c r="C77" s="4">
        <v>5</v>
      </c>
      <c r="D77" s="4">
        <v>2</v>
      </c>
      <c r="E77" s="4">
        <v>8</v>
      </c>
    </row>
    <row r="78" spans="1:5" x14ac:dyDescent="0.3">
      <c r="A78" s="2" t="s">
        <v>64</v>
      </c>
      <c r="B78" s="4">
        <v>2</v>
      </c>
      <c r="C78" s="4">
        <v>1</v>
      </c>
      <c r="D78" s="4">
        <v>2</v>
      </c>
      <c r="E78" s="4">
        <v>5</v>
      </c>
    </row>
    <row r="79" spans="1:5" x14ac:dyDescent="0.3">
      <c r="A79" s="2" t="s">
        <v>29</v>
      </c>
      <c r="B79" s="4">
        <v>3</v>
      </c>
      <c r="C79" s="4">
        <v>3</v>
      </c>
      <c r="D79" s="4">
        <v>2</v>
      </c>
      <c r="E79" s="4">
        <v>8</v>
      </c>
    </row>
    <row r="80" spans="1:5" x14ac:dyDescent="0.3">
      <c r="A80" s="2" t="s">
        <v>22</v>
      </c>
      <c r="B80" s="4">
        <v>1</v>
      </c>
      <c r="C80" s="4">
        <v>6</v>
      </c>
      <c r="D80" s="4">
        <v>1</v>
      </c>
      <c r="E80" s="4">
        <v>8</v>
      </c>
    </row>
    <row r="81" spans="1:5" x14ac:dyDescent="0.3">
      <c r="A81" s="2" t="s">
        <v>47</v>
      </c>
      <c r="B81" s="4"/>
      <c r="C81" s="4">
        <v>1</v>
      </c>
      <c r="D81" s="4">
        <v>6</v>
      </c>
      <c r="E81" s="4">
        <v>7</v>
      </c>
    </row>
    <row r="82" spans="1:5" x14ac:dyDescent="0.3">
      <c r="A82" s="2" t="s">
        <v>60</v>
      </c>
      <c r="B82" s="4">
        <v>2</v>
      </c>
      <c r="C82" s="4">
        <v>4</v>
      </c>
      <c r="D82" s="4"/>
      <c r="E82" s="4">
        <v>6</v>
      </c>
    </row>
    <row r="83" spans="1:5" x14ac:dyDescent="0.3">
      <c r="A83" s="2" t="s">
        <v>69</v>
      </c>
      <c r="B83" s="4">
        <v>2</v>
      </c>
      <c r="C83" s="4">
        <v>4</v>
      </c>
      <c r="D83" s="4">
        <v>2</v>
      </c>
      <c r="E83" s="4">
        <v>8</v>
      </c>
    </row>
    <row r="84" spans="1:5" x14ac:dyDescent="0.3">
      <c r="A84" s="2" t="s">
        <v>127</v>
      </c>
      <c r="B84" s="4">
        <v>11</v>
      </c>
      <c r="C84" s="4">
        <v>24</v>
      </c>
      <c r="D84" s="4">
        <v>15</v>
      </c>
      <c r="E84" s="4">
        <v>50</v>
      </c>
    </row>
    <row r="88" spans="1:5" x14ac:dyDescent="0.3">
      <c r="A88" s="5" t="s">
        <v>133</v>
      </c>
    </row>
    <row r="89" spans="1:5" x14ac:dyDescent="0.3">
      <c r="A89" s="6" t="s">
        <v>72</v>
      </c>
    </row>
    <row r="90" spans="1:5" x14ac:dyDescent="0.3">
      <c r="A90" s="6" t="s">
        <v>31</v>
      </c>
    </row>
    <row r="91" spans="1:5" x14ac:dyDescent="0.3">
      <c r="A91" s="6" t="s">
        <v>48</v>
      </c>
    </row>
    <row r="92" spans="1:5" x14ac:dyDescent="0.3">
      <c r="A92" s="6" t="s">
        <v>16</v>
      </c>
    </row>
    <row r="93" spans="1:5" x14ac:dyDescent="0.3">
      <c r="A93" s="6" t="s">
        <v>23</v>
      </c>
    </row>
    <row r="94" spans="1:5" x14ac:dyDescent="0.3">
      <c r="A94" s="6" t="s">
        <v>61</v>
      </c>
    </row>
    <row r="95" spans="1:5" x14ac:dyDescent="0.3">
      <c r="A95" s="6" t="s">
        <v>134</v>
      </c>
    </row>
    <row r="96" spans="1:5" x14ac:dyDescent="0.3">
      <c r="A96" s="6" t="s">
        <v>127</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L51"/>
  <sheetViews>
    <sheetView topLeftCell="E1" workbookViewId="0">
      <selection activeCell="M10" sqref="M10"/>
    </sheetView>
  </sheetViews>
  <sheetFormatPr defaultRowHeight="14.4" x14ac:dyDescent="0.3"/>
  <cols>
    <col min="1" max="8" width="20" customWidth="1"/>
    <col min="9" max="9" width="20.44140625" customWidth="1"/>
    <col min="10" max="12" width="20"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s="1">
        <v>42386</v>
      </c>
      <c r="G2">
        <v>1</v>
      </c>
      <c r="H2" t="s">
        <v>17</v>
      </c>
      <c r="I2">
        <v>103723</v>
      </c>
      <c r="J2">
        <v>3</v>
      </c>
      <c r="K2" t="s">
        <v>18</v>
      </c>
      <c r="L2" t="s">
        <v>19</v>
      </c>
    </row>
    <row r="3" spans="1:12" x14ac:dyDescent="0.3">
      <c r="A3" t="s">
        <v>20</v>
      </c>
      <c r="B3" t="s">
        <v>21</v>
      </c>
      <c r="C3" t="s">
        <v>22</v>
      </c>
      <c r="D3" t="s">
        <v>15</v>
      </c>
      <c r="E3" t="s">
        <v>23</v>
      </c>
      <c r="F3" s="1">
        <v>42806</v>
      </c>
      <c r="G3">
        <v>8.9</v>
      </c>
      <c r="H3" t="s">
        <v>24</v>
      </c>
      <c r="I3">
        <v>111683</v>
      </c>
      <c r="J3">
        <v>5</v>
      </c>
      <c r="K3" t="s">
        <v>25</v>
      </c>
      <c r="L3" t="s">
        <v>26</v>
      </c>
    </row>
    <row r="4" spans="1:12" x14ac:dyDescent="0.3">
      <c r="A4" t="s">
        <v>27</v>
      </c>
      <c r="B4" t="s">
        <v>28</v>
      </c>
      <c r="C4" t="s">
        <v>29</v>
      </c>
      <c r="D4" t="s">
        <v>30</v>
      </c>
      <c r="E4" t="s">
        <v>31</v>
      </c>
      <c r="F4" s="1">
        <v>44213</v>
      </c>
      <c r="G4">
        <v>2.8</v>
      </c>
      <c r="H4" t="s">
        <v>24</v>
      </c>
      <c r="I4">
        <v>67083</v>
      </c>
      <c r="J4">
        <v>5</v>
      </c>
      <c r="K4" t="s">
        <v>32</v>
      </c>
      <c r="L4" t="s">
        <v>33</v>
      </c>
    </row>
    <row r="5" spans="1:12" x14ac:dyDescent="0.3">
      <c r="A5" t="s">
        <v>34</v>
      </c>
      <c r="B5" t="s">
        <v>35</v>
      </c>
      <c r="C5" t="s">
        <v>22</v>
      </c>
      <c r="D5" t="s">
        <v>15</v>
      </c>
      <c r="E5" t="s">
        <v>31</v>
      </c>
      <c r="F5" s="1">
        <v>44874</v>
      </c>
      <c r="G5">
        <v>1.9</v>
      </c>
      <c r="H5" t="s">
        <v>36</v>
      </c>
      <c r="I5">
        <v>107187</v>
      </c>
      <c r="J5">
        <v>1</v>
      </c>
      <c r="K5" t="s">
        <v>25</v>
      </c>
      <c r="L5" t="s">
        <v>26</v>
      </c>
    </row>
    <row r="6" spans="1:12" x14ac:dyDescent="0.3">
      <c r="A6" t="s">
        <v>37</v>
      </c>
      <c r="B6" t="s">
        <v>38</v>
      </c>
      <c r="C6" t="s">
        <v>22</v>
      </c>
      <c r="D6" t="s">
        <v>39</v>
      </c>
      <c r="E6" t="s">
        <v>31</v>
      </c>
      <c r="F6" s="1">
        <v>42376</v>
      </c>
      <c r="G6">
        <v>9.9</v>
      </c>
      <c r="H6" t="s">
        <v>24</v>
      </c>
      <c r="I6">
        <v>115491</v>
      </c>
      <c r="J6">
        <v>1</v>
      </c>
      <c r="K6" t="s">
        <v>18</v>
      </c>
      <c r="L6" t="s">
        <v>26</v>
      </c>
    </row>
    <row r="7" spans="1:12" x14ac:dyDescent="0.3">
      <c r="A7" t="s">
        <v>40</v>
      </c>
      <c r="B7" t="s">
        <v>41</v>
      </c>
      <c r="C7" t="s">
        <v>29</v>
      </c>
      <c r="D7" t="s">
        <v>42</v>
      </c>
      <c r="E7" t="s">
        <v>31</v>
      </c>
      <c r="F7" s="1">
        <v>42883</v>
      </c>
      <c r="G7">
        <v>6.4</v>
      </c>
      <c r="H7" t="s">
        <v>24</v>
      </c>
      <c r="I7">
        <v>55924</v>
      </c>
      <c r="J7">
        <v>3</v>
      </c>
      <c r="K7" t="s">
        <v>32</v>
      </c>
      <c r="L7" t="s">
        <v>19</v>
      </c>
    </row>
    <row r="8" spans="1:12" x14ac:dyDescent="0.3">
      <c r="A8" t="s">
        <v>43</v>
      </c>
      <c r="B8" t="s">
        <v>44</v>
      </c>
      <c r="C8" t="s">
        <v>14</v>
      </c>
      <c r="D8" t="s">
        <v>39</v>
      </c>
      <c r="E8" t="s">
        <v>23</v>
      </c>
      <c r="F8" s="1">
        <v>45243</v>
      </c>
      <c r="G8">
        <v>4.3</v>
      </c>
      <c r="H8" t="s">
        <v>36</v>
      </c>
      <c r="I8">
        <v>56870</v>
      </c>
      <c r="J8">
        <v>1</v>
      </c>
      <c r="K8" t="s">
        <v>32</v>
      </c>
      <c r="L8" t="s">
        <v>26</v>
      </c>
    </row>
    <row r="9" spans="1:12" x14ac:dyDescent="0.3">
      <c r="A9" t="s">
        <v>45</v>
      </c>
      <c r="B9" t="s">
        <v>46</v>
      </c>
      <c r="C9" t="s">
        <v>47</v>
      </c>
      <c r="D9" t="s">
        <v>42</v>
      </c>
      <c r="E9" t="s">
        <v>48</v>
      </c>
      <c r="F9" s="1">
        <v>43098</v>
      </c>
      <c r="G9">
        <v>7.4</v>
      </c>
      <c r="H9" t="s">
        <v>17</v>
      </c>
      <c r="I9">
        <v>56552</v>
      </c>
      <c r="J9">
        <v>2</v>
      </c>
      <c r="K9" t="s">
        <v>25</v>
      </c>
      <c r="L9" t="s">
        <v>26</v>
      </c>
    </row>
    <row r="10" spans="1:12" x14ac:dyDescent="0.3">
      <c r="A10" t="s">
        <v>49</v>
      </c>
      <c r="B10" t="s">
        <v>41</v>
      </c>
      <c r="C10" t="s">
        <v>14</v>
      </c>
      <c r="D10" t="s">
        <v>50</v>
      </c>
      <c r="E10" t="s">
        <v>48</v>
      </c>
      <c r="F10" s="1">
        <v>44267</v>
      </c>
      <c r="G10">
        <v>0.9</v>
      </c>
      <c r="H10" t="s">
        <v>24</v>
      </c>
      <c r="I10">
        <v>37361</v>
      </c>
      <c r="J10">
        <v>1</v>
      </c>
      <c r="K10" t="s">
        <v>25</v>
      </c>
      <c r="L10" t="s">
        <v>33</v>
      </c>
    </row>
    <row r="11" spans="1:12" x14ac:dyDescent="0.3">
      <c r="A11" t="s">
        <v>51</v>
      </c>
      <c r="B11" t="s">
        <v>52</v>
      </c>
      <c r="C11" t="s">
        <v>14</v>
      </c>
      <c r="D11" t="s">
        <v>50</v>
      </c>
      <c r="E11" t="s">
        <v>31</v>
      </c>
      <c r="F11" s="1">
        <v>44524</v>
      </c>
      <c r="G11">
        <v>1.1000000000000001</v>
      </c>
      <c r="H11" t="s">
        <v>24</v>
      </c>
      <c r="I11">
        <v>86194</v>
      </c>
      <c r="J11">
        <v>3</v>
      </c>
      <c r="K11" t="s">
        <v>53</v>
      </c>
      <c r="L11" t="s">
        <v>19</v>
      </c>
    </row>
    <row r="12" spans="1:12" x14ac:dyDescent="0.3">
      <c r="A12" t="s">
        <v>54</v>
      </c>
      <c r="B12" t="s">
        <v>55</v>
      </c>
      <c r="C12" t="s">
        <v>22</v>
      </c>
      <c r="D12" t="s">
        <v>39</v>
      </c>
      <c r="E12" t="s">
        <v>23</v>
      </c>
      <c r="F12" s="1">
        <v>45299</v>
      </c>
      <c r="G12">
        <v>3.3</v>
      </c>
      <c r="H12" t="s">
        <v>24</v>
      </c>
      <c r="I12">
        <v>86865</v>
      </c>
      <c r="J12">
        <v>2</v>
      </c>
      <c r="K12" t="s">
        <v>25</v>
      </c>
      <c r="L12" t="s">
        <v>19</v>
      </c>
    </row>
    <row r="13" spans="1:12" x14ac:dyDescent="0.3">
      <c r="A13" t="s">
        <v>56</v>
      </c>
      <c r="B13" t="s">
        <v>57</v>
      </c>
      <c r="C13" t="s">
        <v>14</v>
      </c>
      <c r="D13" t="s">
        <v>58</v>
      </c>
      <c r="E13" t="s">
        <v>23</v>
      </c>
      <c r="F13" s="1">
        <v>42817</v>
      </c>
      <c r="G13">
        <v>9</v>
      </c>
      <c r="H13" t="s">
        <v>17</v>
      </c>
      <c r="I13">
        <v>81679</v>
      </c>
      <c r="J13">
        <v>3</v>
      </c>
      <c r="K13" t="s">
        <v>53</v>
      </c>
      <c r="L13" t="s">
        <v>33</v>
      </c>
    </row>
    <row r="14" spans="1:12" x14ac:dyDescent="0.3">
      <c r="A14" t="s">
        <v>59</v>
      </c>
      <c r="B14" t="s">
        <v>28</v>
      </c>
      <c r="C14" t="s">
        <v>60</v>
      </c>
      <c r="D14" t="s">
        <v>15</v>
      </c>
      <c r="E14" t="s">
        <v>61</v>
      </c>
      <c r="F14" s="1">
        <v>42151</v>
      </c>
      <c r="G14">
        <v>1.2</v>
      </c>
      <c r="H14" t="s">
        <v>24</v>
      </c>
      <c r="I14">
        <v>91056</v>
      </c>
      <c r="J14">
        <v>3</v>
      </c>
      <c r="K14" t="s">
        <v>25</v>
      </c>
      <c r="L14" t="s">
        <v>26</v>
      </c>
    </row>
    <row r="15" spans="1:12" x14ac:dyDescent="0.3">
      <c r="A15" t="s">
        <v>62</v>
      </c>
      <c r="B15" t="s">
        <v>63</v>
      </c>
      <c r="C15" t="s">
        <v>64</v>
      </c>
      <c r="D15" t="s">
        <v>39</v>
      </c>
      <c r="E15" t="s">
        <v>23</v>
      </c>
      <c r="F15" s="1">
        <v>43308</v>
      </c>
      <c r="G15">
        <v>7.9</v>
      </c>
      <c r="H15" t="s">
        <v>17</v>
      </c>
      <c r="I15">
        <v>77217</v>
      </c>
      <c r="J15">
        <v>5</v>
      </c>
      <c r="K15" t="s">
        <v>18</v>
      </c>
      <c r="L15" t="s">
        <v>19</v>
      </c>
    </row>
    <row r="16" spans="1:12" x14ac:dyDescent="0.3">
      <c r="A16" t="s">
        <v>65</v>
      </c>
      <c r="B16" t="s">
        <v>66</v>
      </c>
      <c r="C16" t="s">
        <v>60</v>
      </c>
      <c r="D16" t="s">
        <v>39</v>
      </c>
      <c r="E16" t="s">
        <v>16</v>
      </c>
      <c r="F16" s="1">
        <v>45185</v>
      </c>
      <c r="G16">
        <v>8.3000000000000007</v>
      </c>
      <c r="H16" t="s">
        <v>24</v>
      </c>
      <c r="I16">
        <v>103084</v>
      </c>
      <c r="J16">
        <v>3</v>
      </c>
      <c r="K16" t="s">
        <v>32</v>
      </c>
      <c r="L16" t="s">
        <v>19</v>
      </c>
    </row>
    <row r="17" spans="1:12" x14ac:dyDescent="0.3">
      <c r="A17" t="s">
        <v>67</v>
      </c>
      <c r="B17" t="s">
        <v>68</v>
      </c>
      <c r="C17" t="s">
        <v>69</v>
      </c>
      <c r="D17" t="s">
        <v>58</v>
      </c>
      <c r="E17" t="s">
        <v>23</v>
      </c>
      <c r="F17" s="1">
        <v>44584</v>
      </c>
      <c r="G17">
        <v>7.7</v>
      </c>
      <c r="H17" t="s">
        <v>36</v>
      </c>
      <c r="I17">
        <v>110138</v>
      </c>
      <c r="J17">
        <v>4</v>
      </c>
      <c r="K17" t="s">
        <v>25</v>
      </c>
      <c r="L17" t="s">
        <v>19</v>
      </c>
    </row>
    <row r="18" spans="1:12" x14ac:dyDescent="0.3">
      <c r="A18" t="s">
        <v>70</v>
      </c>
      <c r="B18" t="s">
        <v>71</v>
      </c>
      <c r="C18" t="s">
        <v>60</v>
      </c>
      <c r="D18" t="s">
        <v>39</v>
      </c>
      <c r="E18" t="s">
        <v>72</v>
      </c>
      <c r="F18" s="1">
        <v>44186</v>
      </c>
      <c r="G18">
        <v>7.6</v>
      </c>
      <c r="H18" t="s">
        <v>24</v>
      </c>
      <c r="I18">
        <v>107320</v>
      </c>
      <c r="J18">
        <v>4</v>
      </c>
      <c r="K18" t="s">
        <v>32</v>
      </c>
      <c r="L18" t="s">
        <v>33</v>
      </c>
    </row>
    <row r="19" spans="1:12" x14ac:dyDescent="0.3">
      <c r="A19" t="s">
        <v>73</v>
      </c>
      <c r="B19" t="s">
        <v>74</v>
      </c>
      <c r="C19" t="s">
        <v>64</v>
      </c>
      <c r="D19" t="s">
        <v>50</v>
      </c>
      <c r="E19" t="s">
        <v>61</v>
      </c>
      <c r="F19" s="1">
        <v>42543</v>
      </c>
      <c r="G19">
        <v>5.0999999999999996</v>
      </c>
      <c r="H19" t="s">
        <v>17</v>
      </c>
      <c r="I19">
        <v>68778</v>
      </c>
      <c r="J19">
        <v>1</v>
      </c>
      <c r="K19" t="s">
        <v>32</v>
      </c>
      <c r="L19" t="s">
        <v>26</v>
      </c>
    </row>
    <row r="20" spans="1:12" x14ac:dyDescent="0.3">
      <c r="A20" t="s">
        <v>75</v>
      </c>
      <c r="B20" t="s">
        <v>76</v>
      </c>
      <c r="C20" t="s">
        <v>60</v>
      </c>
      <c r="D20" t="s">
        <v>42</v>
      </c>
      <c r="E20" t="s">
        <v>16</v>
      </c>
      <c r="F20" s="1">
        <v>42706</v>
      </c>
      <c r="G20">
        <v>7</v>
      </c>
      <c r="H20" t="s">
        <v>36</v>
      </c>
      <c r="I20">
        <v>77359</v>
      </c>
      <c r="J20">
        <v>2</v>
      </c>
      <c r="K20" t="s">
        <v>53</v>
      </c>
      <c r="L20" t="s">
        <v>19</v>
      </c>
    </row>
    <row r="21" spans="1:12" x14ac:dyDescent="0.3">
      <c r="A21" t="s">
        <v>77</v>
      </c>
      <c r="B21" t="s">
        <v>78</v>
      </c>
      <c r="C21" t="s">
        <v>47</v>
      </c>
      <c r="D21" t="s">
        <v>58</v>
      </c>
      <c r="E21" t="s">
        <v>23</v>
      </c>
      <c r="F21" s="1">
        <v>45073</v>
      </c>
      <c r="G21">
        <v>3.8</v>
      </c>
      <c r="H21" t="s">
        <v>24</v>
      </c>
      <c r="I21">
        <v>59780</v>
      </c>
      <c r="J21">
        <v>3</v>
      </c>
      <c r="K21" t="s">
        <v>25</v>
      </c>
      <c r="L21" t="s">
        <v>33</v>
      </c>
    </row>
    <row r="22" spans="1:12" x14ac:dyDescent="0.3">
      <c r="A22" t="s">
        <v>79</v>
      </c>
      <c r="B22" t="s">
        <v>80</v>
      </c>
      <c r="C22" t="s">
        <v>60</v>
      </c>
      <c r="D22" t="s">
        <v>15</v>
      </c>
      <c r="E22" t="s">
        <v>16</v>
      </c>
      <c r="F22" s="1">
        <v>42112</v>
      </c>
      <c r="G22">
        <v>1.8</v>
      </c>
      <c r="H22" t="s">
        <v>24</v>
      </c>
      <c r="I22">
        <v>67809</v>
      </c>
      <c r="J22">
        <v>1</v>
      </c>
      <c r="K22" t="s">
        <v>25</v>
      </c>
      <c r="L22" t="s">
        <v>19</v>
      </c>
    </row>
    <row r="23" spans="1:12" x14ac:dyDescent="0.3">
      <c r="A23" t="s">
        <v>81</v>
      </c>
      <c r="B23" t="s">
        <v>82</v>
      </c>
      <c r="C23" t="s">
        <v>47</v>
      </c>
      <c r="D23" t="s">
        <v>42</v>
      </c>
      <c r="E23" t="s">
        <v>72</v>
      </c>
      <c r="F23" s="1">
        <v>42257</v>
      </c>
      <c r="G23">
        <v>6.3</v>
      </c>
      <c r="H23" t="s">
        <v>17</v>
      </c>
      <c r="I23">
        <v>28537</v>
      </c>
      <c r="J23">
        <v>3</v>
      </c>
      <c r="K23" t="s">
        <v>53</v>
      </c>
      <c r="L23" t="s">
        <v>19</v>
      </c>
    </row>
    <row r="24" spans="1:12" x14ac:dyDescent="0.3">
      <c r="A24" t="s">
        <v>83</v>
      </c>
      <c r="B24" t="s">
        <v>84</v>
      </c>
      <c r="C24" t="s">
        <v>29</v>
      </c>
      <c r="D24" t="s">
        <v>42</v>
      </c>
      <c r="E24" t="s">
        <v>61</v>
      </c>
      <c r="F24" s="1">
        <v>43135</v>
      </c>
      <c r="G24">
        <v>4</v>
      </c>
      <c r="H24" t="s">
        <v>17</v>
      </c>
      <c r="I24">
        <v>113987</v>
      </c>
      <c r="J24">
        <v>3</v>
      </c>
      <c r="K24" t="s">
        <v>32</v>
      </c>
      <c r="L24" t="s">
        <v>26</v>
      </c>
    </row>
    <row r="25" spans="1:12" x14ac:dyDescent="0.3">
      <c r="A25" t="s">
        <v>85</v>
      </c>
      <c r="B25" t="s">
        <v>86</v>
      </c>
      <c r="C25" t="s">
        <v>14</v>
      </c>
      <c r="D25" t="s">
        <v>50</v>
      </c>
      <c r="E25" t="s">
        <v>72</v>
      </c>
      <c r="F25" s="1">
        <v>43504</v>
      </c>
      <c r="G25">
        <v>9.6</v>
      </c>
      <c r="H25" t="s">
        <v>24</v>
      </c>
      <c r="I25">
        <v>106041</v>
      </c>
      <c r="J25">
        <v>5</v>
      </c>
      <c r="K25" t="s">
        <v>18</v>
      </c>
      <c r="L25" t="s">
        <v>19</v>
      </c>
    </row>
    <row r="26" spans="1:12" x14ac:dyDescent="0.3">
      <c r="A26" t="s">
        <v>87</v>
      </c>
      <c r="B26" t="s">
        <v>88</v>
      </c>
      <c r="C26" t="s">
        <v>47</v>
      </c>
      <c r="D26" t="s">
        <v>39</v>
      </c>
      <c r="E26" t="s">
        <v>72</v>
      </c>
      <c r="F26" s="1">
        <v>42165</v>
      </c>
      <c r="G26">
        <v>3.1</v>
      </c>
      <c r="H26" t="s">
        <v>17</v>
      </c>
      <c r="I26">
        <v>37750</v>
      </c>
      <c r="J26">
        <v>5</v>
      </c>
      <c r="K26" t="s">
        <v>18</v>
      </c>
      <c r="L26" t="s">
        <v>26</v>
      </c>
    </row>
    <row r="27" spans="1:12" x14ac:dyDescent="0.3">
      <c r="A27" t="s">
        <v>89</v>
      </c>
      <c r="B27" t="s">
        <v>90</v>
      </c>
      <c r="C27" t="s">
        <v>29</v>
      </c>
      <c r="D27" t="s">
        <v>42</v>
      </c>
      <c r="E27" t="s">
        <v>31</v>
      </c>
      <c r="F27" s="1">
        <v>44214</v>
      </c>
      <c r="G27">
        <v>1.7</v>
      </c>
      <c r="H27" t="s">
        <v>36</v>
      </c>
      <c r="I27">
        <v>68104</v>
      </c>
      <c r="J27">
        <v>1</v>
      </c>
      <c r="K27" t="s">
        <v>18</v>
      </c>
      <c r="L27" t="s">
        <v>33</v>
      </c>
    </row>
    <row r="28" spans="1:12" x14ac:dyDescent="0.3">
      <c r="A28" t="s">
        <v>91</v>
      </c>
      <c r="B28" t="s">
        <v>52</v>
      </c>
      <c r="C28" t="s">
        <v>69</v>
      </c>
      <c r="D28" t="s">
        <v>58</v>
      </c>
      <c r="E28" t="s">
        <v>31</v>
      </c>
      <c r="F28" s="1">
        <v>43966</v>
      </c>
      <c r="G28">
        <v>4.0999999999999996</v>
      </c>
      <c r="H28" t="s">
        <v>36</v>
      </c>
      <c r="I28">
        <v>64210</v>
      </c>
      <c r="J28">
        <v>3</v>
      </c>
      <c r="K28" t="s">
        <v>18</v>
      </c>
      <c r="L28" t="s">
        <v>26</v>
      </c>
    </row>
    <row r="29" spans="1:12" x14ac:dyDescent="0.3">
      <c r="A29" t="s">
        <v>92</v>
      </c>
      <c r="B29" t="s">
        <v>93</v>
      </c>
      <c r="C29" t="s">
        <v>22</v>
      </c>
      <c r="D29" t="s">
        <v>50</v>
      </c>
      <c r="E29" t="s">
        <v>23</v>
      </c>
      <c r="F29" s="1">
        <v>42859</v>
      </c>
      <c r="G29">
        <v>4.4000000000000004</v>
      </c>
      <c r="H29" t="s">
        <v>24</v>
      </c>
      <c r="I29">
        <v>117145</v>
      </c>
      <c r="J29">
        <v>4</v>
      </c>
      <c r="K29" t="s">
        <v>18</v>
      </c>
      <c r="L29" t="s">
        <v>19</v>
      </c>
    </row>
    <row r="30" spans="1:12" x14ac:dyDescent="0.3">
      <c r="A30" t="s">
        <v>94</v>
      </c>
      <c r="B30" t="s">
        <v>84</v>
      </c>
      <c r="C30" t="s">
        <v>69</v>
      </c>
      <c r="D30" t="s">
        <v>39</v>
      </c>
      <c r="E30" t="s">
        <v>23</v>
      </c>
      <c r="F30" s="1">
        <v>44757</v>
      </c>
      <c r="G30">
        <v>6.1</v>
      </c>
      <c r="H30" t="s">
        <v>24</v>
      </c>
      <c r="I30">
        <v>71146</v>
      </c>
      <c r="J30">
        <v>4</v>
      </c>
      <c r="K30" t="s">
        <v>18</v>
      </c>
      <c r="L30" t="s">
        <v>19</v>
      </c>
    </row>
    <row r="31" spans="1:12" x14ac:dyDescent="0.3">
      <c r="A31" t="s">
        <v>95</v>
      </c>
      <c r="B31" t="s">
        <v>82</v>
      </c>
      <c r="C31" t="s">
        <v>64</v>
      </c>
      <c r="D31" t="s">
        <v>30</v>
      </c>
      <c r="E31" t="s">
        <v>16</v>
      </c>
      <c r="F31" s="1">
        <v>44403</v>
      </c>
      <c r="G31">
        <v>7.6</v>
      </c>
      <c r="H31" t="s">
        <v>36</v>
      </c>
      <c r="I31">
        <v>81286</v>
      </c>
      <c r="J31">
        <v>3</v>
      </c>
      <c r="K31" t="s">
        <v>25</v>
      </c>
      <c r="L31" t="s">
        <v>19</v>
      </c>
    </row>
    <row r="32" spans="1:12" x14ac:dyDescent="0.3">
      <c r="A32" t="s">
        <v>96</v>
      </c>
      <c r="B32" t="s">
        <v>97</v>
      </c>
      <c r="C32" t="s">
        <v>64</v>
      </c>
      <c r="D32" t="s">
        <v>42</v>
      </c>
      <c r="E32" t="s">
        <v>31</v>
      </c>
      <c r="F32" s="1">
        <v>43285</v>
      </c>
      <c r="G32">
        <v>1.1000000000000001</v>
      </c>
      <c r="H32" t="s">
        <v>24</v>
      </c>
      <c r="I32">
        <v>27329</v>
      </c>
      <c r="J32">
        <v>3</v>
      </c>
      <c r="K32" t="s">
        <v>32</v>
      </c>
      <c r="L32" t="s">
        <v>33</v>
      </c>
    </row>
    <row r="33" spans="1:12" x14ac:dyDescent="0.3">
      <c r="A33" t="s">
        <v>98</v>
      </c>
      <c r="B33" t="s">
        <v>76</v>
      </c>
      <c r="C33" t="s">
        <v>69</v>
      </c>
      <c r="D33" t="s">
        <v>42</v>
      </c>
      <c r="E33" t="s">
        <v>61</v>
      </c>
      <c r="F33" s="1">
        <v>43720</v>
      </c>
      <c r="G33">
        <v>3.9</v>
      </c>
      <c r="H33" t="s">
        <v>17</v>
      </c>
      <c r="I33">
        <v>40185</v>
      </c>
      <c r="J33">
        <v>3</v>
      </c>
      <c r="K33" t="s">
        <v>18</v>
      </c>
      <c r="L33" t="s">
        <v>19</v>
      </c>
    </row>
    <row r="34" spans="1:12" x14ac:dyDescent="0.3">
      <c r="A34" t="s">
        <v>99</v>
      </c>
      <c r="B34" t="s">
        <v>100</v>
      </c>
      <c r="C34" t="s">
        <v>69</v>
      </c>
      <c r="D34" t="s">
        <v>30</v>
      </c>
      <c r="E34" t="s">
        <v>61</v>
      </c>
      <c r="F34" s="1">
        <v>44345</v>
      </c>
      <c r="G34">
        <v>8.4</v>
      </c>
      <c r="H34" t="s">
        <v>17</v>
      </c>
      <c r="I34">
        <v>64283</v>
      </c>
      <c r="J34">
        <v>2</v>
      </c>
      <c r="K34" t="s">
        <v>53</v>
      </c>
      <c r="L34" t="s">
        <v>19</v>
      </c>
    </row>
    <row r="35" spans="1:12" x14ac:dyDescent="0.3">
      <c r="A35" t="s">
        <v>101</v>
      </c>
      <c r="B35" t="s">
        <v>102</v>
      </c>
      <c r="C35" t="s">
        <v>14</v>
      </c>
      <c r="D35" t="s">
        <v>50</v>
      </c>
      <c r="E35" t="s">
        <v>48</v>
      </c>
      <c r="F35" s="1">
        <v>43410</v>
      </c>
      <c r="G35">
        <v>2.9</v>
      </c>
      <c r="H35" t="s">
        <v>24</v>
      </c>
      <c r="I35">
        <v>42896</v>
      </c>
      <c r="J35">
        <v>1</v>
      </c>
      <c r="K35" t="s">
        <v>18</v>
      </c>
      <c r="L35" t="s">
        <v>33</v>
      </c>
    </row>
    <row r="36" spans="1:12" x14ac:dyDescent="0.3">
      <c r="A36" t="s">
        <v>103</v>
      </c>
      <c r="B36" t="s">
        <v>104</v>
      </c>
      <c r="C36" t="s">
        <v>22</v>
      </c>
      <c r="D36" t="s">
        <v>39</v>
      </c>
      <c r="E36" t="s">
        <v>23</v>
      </c>
      <c r="F36" s="1">
        <v>43435</v>
      </c>
      <c r="G36">
        <v>0.8</v>
      </c>
      <c r="H36" t="s">
        <v>24</v>
      </c>
      <c r="I36">
        <v>34824</v>
      </c>
      <c r="J36">
        <v>4</v>
      </c>
      <c r="K36" t="s">
        <v>25</v>
      </c>
      <c r="L36" t="s">
        <v>19</v>
      </c>
    </row>
    <row r="37" spans="1:12" x14ac:dyDescent="0.3">
      <c r="A37" t="s">
        <v>105</v>
      </c>
      <c r="B37" t="s">
        <v>97</v>
      </c>
      <c r="C37" t="s">
        <v>22</v>
      </c>
      <c r="D37" t="s">
        <v>15</v>
      </c>
      <c r="E37" t="s">
        <v>48</v>
      </c>
      <c r="F37" s="1">
        <v>42461</v>
      </c>
      <c r="G37">
        <v>7.4</v>
      </c>
      <c r="H37" t="s">
        <v>24</v>
      </c>
      <c r="I37">
        <v>60988</v>
      </c>
      <c r="J37">
        <v>5</v>
      </c>
      <c r="K37" t="s">
        <v>53</v>
      </c>
      <c r="L37" t="s">
        <v>19</v>
      </c>
    </row>
    <row r="38" spans="1:12" x14ac:dyDescent="0.3">
      <c r="A38" t="s">
        <v>106</v>
      </c>
      <c r="B38" t="s">
        <v>82</v>
      </c>
      <c r="C38" t="s">
        <v>47</v>
      </c>
      <c r="D38" t="s">
        <v>50</v>
      </c>
      <c r="E38" t="s">
        <v>72</v>
      </c>
      <c r="F38" s="1">
        <v>45287</v>
      </c>
      <c r="G38">
        <v>8.9</v>
      </c>
      <c r="H38" t="s">
        <v>17</v>
      </c>
      <c r="I38">
        <v>43609</v>
      </c>
      <c r="J38">
        <v>2</v>
      </c>
      <c r="K38" t="s">
        <v>25</v>
      </c>
      <c r="L38" t="s">
        <v>19</v>
      </c>
    </row>
    <row r="39" spans="1:12" x14ac:dyDescent="0.3">
      <c r="A39" t="s">
        <v>107</v>
      </c>
      <c r="B39" t="s">
        <v>108</v>
      </c>
      <c r="C39" t="s">
        <v>29</v>
      </c>
      <c r="D39" t="s">
        <v>58</v>
      </c>
      <c r="E39" t="s">
        <v>31</v>
      </c>
      <c r="F39" s="1">
        <v>44643</v>
      </c>
      <c r="G39">
        <v>3.5</v>
      </c>
      <c r="H39" t="s">
        <v>36</v>
      </c>
      <c r="I39">
        <v>109529</v>
      </c>
      <c r="J39">
        <v>4</v>
      </c>
      <c r="K39" t="s">
        <v>53</v>
      </c>
      <c r="L39" t="s">
        <v>33</v>
      </c>
    </row>
    <row r="40" spans="1:12" x14ac:dyDescent="0.3">
      <c r="A40" t="s">
        <v>109</v>
      </c>
      <c r="B40" t="s">
        <v>76</v>
      </c>
      <c r="C40" t="s">
        <v>69</v>
      </c>
      <c r="D40" t="s">
        <v>42</v>
      </c>
      <c r="E40" t="s">
        <v>61</v>
      </c>
      <c r="F40" s="1">
        <v>42268</v>
      </c>
      <c r="G40">
        <v>6.2</v>
      </c>
      <c r="H40" t="s">
        <v>24</v>
      </c>
      <c r="I40">
        <v>25328</v>
      </c>
      <c r="J40">
        <v>3</v>
      </c>
      <c r="K40" t="s">
        <v>53</v>
      </c>
      <c r="L40" t="s">
        <v>19</v>
      </c>
    </row>
    <row r="41" spans="1:12" x14ac:dyDescent="0.3">
      <c r="A41" t="s">
        <v>110</v>
      </c>
      <c r="B41" t="s">
        <v>28</v>
      </c>
      <c r="C41" t="s">
        <v>22</v>
      </c>
      <c r="D41" t="s">
        <v>30</v>
      </c>
      <c r="E41" t="s">
        <v>48</v>
      </c>
      <c r="F41" s="1">
        <v>42599</v>
      </c>
      <c r="G41">
        <v>5</v>
      </c>
      <c r="H41" t="s">
        <v>17</v>
      </c>
      <c r="I41">
        <v>62524</v>
      </c>
      <c r="J41">
        <v>2</v>
      </c>
      <c r="K41" t="s">
        <v>25</v>
      </c>
      <c r="L41" t="s">
        <v>19</v>
      </c>
    </row>
    <row r="42" spans="1:12" x14ac:dyDescent="0.3">
      <c r="A42" t="s">
        <v>111</v>
      </c>
      <c r="B42" t="s">
        <v>112</v>
      </c>
      <c r="C42" t="s">
        <v>29</v>
      </c>
      <c r="D42" t="s">
        <v>30</v>
      </c>
      <c r="E42" t="s">
        <v>48</v>
      </c>
      <c r="F42" s="1">
        <v>43232</v>
      </c>
      <c r="G42">
        <v>9.3000000000000007</v>
      </c>
      <c r="H42" t="s">
        <v>24</v>
      </c>
      <c r="I42">
        <v>35145</v>
      </c>
      <c r="J42">
        <v>2</v>
      </c>
      <c r="K42" t="s">
        <v>53</v>
      </c>
      <c r="L42" t="s">
        <v>33</v>
      </c>
    </row>
    <row r="43" spans="1:12" x14ac:dyDescent="0.3">
      <c r="A43" t="s">
        <v>113</v>
      </c>
      <c r="B43" t="s">
        <v>114</v>
      </c>
      <c r="C43" t="s">
        <v>29</v>
      </c>
      <c r="D43" t="s">
        <v>50</v>
      </c>
      <c r="E43" t="s">
        <v>31</v>
      </c>
      <c r="F43" s="1">
        <v>45394</v>
      </c>
      <c r="G43">
        <v>9.3000000000000007</v>
      </c>
      <c r="H43" t="s">
        <v>17</v>
      </c>
      <c r="I43">
        <v>74528</v>
      </c>
      <c r="J43">
        <v>5</v>
      </c>
      <c r="K43" t="s">
        <v>53</v>
      </c>
      <c r="L43" t="s">
        <v>19</v>
      </c>
    </row>
    <row r="44" spans="1:12" x14ac:dyDescent="0.3">
      <c r="A44" t="s">
        <v>115</v>
      </c>
      <c r="B44" t="s">
        <v>86</v>
      </c>
      <c r="C44" t="s">
        <v>47</v>
      </c>
      <c r="D44" t="s">
        <v>15</v>
      </c>
      <c r="E44" t="s">
        <v>31</v>
      </c>
      <c r="F44" s="1">
        <v>44816</v>
      </c>
      <c r="G44">
        <v>1.6</v>
      </c>
      <c r="H44" t="s">
        <v>17</v>
      </c>
      <c r="I44">
        <v>113152</v>
      </c>
      <c r="J44">
        <v>3</v>
      </c>
      <c r="K44" t="s">
        <v>18</v>
      </c>
      <c r="L44" t="s">
        <v>19</v>
      </c>
    </row>
    <row r="45" spans="1:12" x14ac:dyDescent="0.3">
      <c r="A45" t="s">
        <v>116</v>
      </c>
      <c r="B45" t="s">
        <v>52</v>
      </c>
      <c r="C45" t="s">
        <v>69</v>
      </c>
      <c r="D45" t="s">
        <v>15</v>
      </c>
      <c r="E45" t="s">
        <v>48</v>
      </c>
      <c r="F45" s="1">
        <v>44226</v>
      </c>
      <c r="G45">
        <v>2.5</v>
      </c>
      <c r="H45" t="s">
        <v>24</v>
      </c>
      <c r="I45">
        <v>98109</v>
      </c>
      <c r="J45">
        <v>5</v>
      </c>
      <c r="K45" t="s">
        <v>53</v>
      </c>
      <c r="L45" t="s">
        <v>19</v>
      </c>
    </row>
    <row r="46" spans="1:12" x14ac:dyDescent="0.3">
      <c r="A46" t="s">
        <v>117</v>
      </c>
      <c r="B46" t="s">
        <v>104</v>
      </c>
      <c r="C46" t="s">
        <v>29</v>
      </c>
      <c r="D46" t="s">
        <v>42</v>
      </c>
      <c r="E46" t="s">
        <v>31</v>
      </c>
      <c r="F46" s="1">
        <v>42252</v>
      </c>
      <c r="G46">
        <v>2.9</v>
      </c>
      <c r="H46" t="s">
        <v>36</v>
      </c>
      <c r="I46">
        <v>63340</v>
      </c>
      <c r="J46">
        <v>1</v>
      </c>
      <c r="K46" t="s">
        <v>53</v>
      </c>
      <c r="L46" t="s">
        <v>19</v>
      </c>
    </row>
    <row r="47" spans="1:12" x14ac:dyDescent="0.3">
      <c r="A47" t="s">
        <v>118</v>
      </c>
      <c r="B47" t="s">
        <v>119</v>
      </c>
      <c r="C47" t="s">
        <v>64</v>
      </c>
      <c r="D47" t="s">
        <v>50</v>
      </c>
      <c r="E47" t="s">
        <v>23</v>
      </c>
      <c r="F47" s="1">
        <v>44641</v>
      </c>
      <c r="G47">
        <v>1.9</v>
      </c>
      <c r="H47" t="s">
        <v>36</v>
      </c>
      <c r="I47">
        <v>44583</v>
      </c>
      <c r="J47">
        <v>4</v>
      </c>
      <c r="K47" t="s">
        <v>18</v>
      </c>
      <c r="L47" t="s">
        <v>26</v>
      </c>
    </row>
    <row r="48" spans="1:12" x14ac:dyDescent="0.3">
      <c r="A48" t="s">
        <v>120</v>
      </c>
      <c r="B48" t="s">
        <v>121</v>
      </c>
      <c r="C48" t="s">
        <v>60</v>
      </c>
      <c r="D48" t="s">
        <v>15</v>
      </c>
      <c r="E48" t="s">
        <v>23</v>
      </c>
      <c r="F48" s="1">
        <v>42304</v>
      </c>
      <c r="G48">
        <v>9.4</v>
      </c>
      <c r="H48" t="s">
        <v>36</v>
      </c>
      <c r="I48">
        <v>78774</v>
      </c>
      <c r="J48">
        <v>5</v>
      </c>
      <c r="K48" t="s">
        <v>53</v>
      </c>
      <c r="L48" t="s">
        <v>26</v>
      </c>
    </row>
    <row r="49" spans="1:12" x14ac:dyDescent="0.3">
      <c r="A49" t="s">
        <v>122</v>
      </c>
      <c r="B49" t="s">
        <v>123</v>
      </c>
      <c r="C49" t="s">
        <v>69</v>
      </c>
      <c r="D49" t="s">
        <v>50</v>
      </c>
      <c r="E49" t="s">
        <v>31</v>
      </c>
      <c r="F49" s="1">
        <v>44315</v>
      </c>
      <c r="G49">
        <v>10</v>
      </c>
      <c r="H49" t="s">
        <v>24</v>
      </c>
      <c r="I49">
        <v>44575</v>
      </c>
      <c r="J49">
        <v>4</v>
      </c>
      <c r="K49" t="s">
        <v>53</v>
      </c>
      <c r="L49" t="s">
        <v>33</v>
      </c>
    </row>
    <row r="50" spans="1:12" x14ac:dyDescent="0.3">
      <c r="A50" t="s">
        <v>124</v>
      </c>
      <c r="B50" t="s">
        <v>84</v>
      </c>
      <c r="C50" t="s">
        <v>14</v>
      </c>
      <c r="D50" t="s">
        <v>15</v>
      </c>
      <c r="E50" t="s">
        <v>23</v>
      </c>
      <c r="F50" s="1">
        <v>44208</v>
      </c>
      <c r="G50">
        <v>5.5</v>
      </c>
      <c r="H50" t="s">
        <v>24</v>
      </c>
      <c r="I50">
        <v>70717</v>
      </c>
      <c r="J50">
        <v>5</v>
      </c>
      <c r="K50" t="s">
        <v>32</v>
      </c>
      <c r="L50" t="s">
        <v>26</v>
      </c>
    </row>
    <row r="51" spans="1:12" x14ac:dyDescent="0.3">
      <c r="A51" t="s">
        <v>125</v>
      </c>
      <c r="B51" t="s">
        <v>126</v>
      </c>
      <c r="C51" t="s">
        <v>47</v>
      </c>
      <c r="D51" t="s">
        <v>42</v>
      </c>
      <c r="E51" t="s">
        <v>16</v>
      </c>
      <c r="F51" s="1">
        <v>43255</v>
      </c>
      <c r="G51">
        <v>2.8</v>
      </c>
      <c r="H51" t="s">
        <v>17</v>
      </c>
      <c r="I51">
        <v>28317</v>
      </c>
      <c r="J51">
        <v>4</v>
      </c>
      <c r="K51" t="s">
        <v>25</v>
      </c>
      <c r="L51" t="s">
        <v>26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68D8-CCD9-4E3C-87C1-B5B3DDDCAF72}">
  <sheetPr codeName="Sheet3"/>
  <dimension ref="E4:H21"/>
  <sheetViews>
    <sheetView tabSelected="1" zoomScale="99" workbookViewId="0">
      <selection activeCell="G4" sqref="G4"/>
    </sheetView>
  </sheetViews>
  <sheetFormatPr defaultRowHeight="14.4" x14ac:dyDescent="0.3"/>
  <sheetData>
    <row r="4" spans="5:8" x14ac:dyDescent="0.3">
      <c r="F4" s="7" t="s">
        <v>135</v>
      </c>
      <c r="G4" s="7"/>
    </row>
    <row r="5" spans="5:8" x14ac:dyDescent="0.3">
      <c r="F5" s="7" t="s">
        <v>136</v>
      </c>
      <c r="G5" s="7"/>
    </row>
    <row r="6" spans="5:8" x14ac:dyDescent="0.3">
      <c r="F6" s="7" t="s">
        <v>142</v>
      </c>
      <c r="G6" s="7"/>
    </row>
    <row r="7" spans="5:8" x14ac:dyDescent="0.3">
      <c r="F7" s="7" t="s">
        <v>137</v>
      </c>
      <c r="G7" s="7"/>
    </row>
    <row r="11" spans="5:8" x14ac:dyDescent="0.3">
      <c r="E11" s="7" t="s">
        <v>135</v>
      </c>
      <c r="F11" s="7" t="s">
        <v>136</v>
      </c>
      <c r="G11" s="7" t="s">
        <v>141</v>
      </c>
      <c r="H11" s="7" t="s">
        <v>137</v>
      </c>
    </row>
    <row r="12" spans="5:8" x14ac:dyDescent="0.3">
      <c r="E12" s="7" t="s">
        <v>160</v>
      </c>
      <c r="F12" s="7">
        <v>15</v>
      </c>
      <c r="G12" s="7" t="s">
        <v>161</v>
      </c>
      <c r="H12" s="7" t="s">
        <v>162</v>
      </c>
    </row>
    <row r="13" spans="5:8" x14ac:dyDescent="0.3">
      <c r="E13" s="7" t="s">
        <v>157</v>
      </c>
      <c r="F13" s="7">
        <v>12</v>
      </c>
      <c r="G13" s="7" t="s">
        <v>146</v>
      </c>
      <c r="H13" s="7" t="s">
        <v>155</v>
      </c>
    </row>
    <row r="14" spans="5:8" x14ac:dyDescent="0.3">
      <c r="E14" s="7" t="s">
        <v>158</v>
      </c>
      <c r="F14" s="7">
        <v>55</v>
      </c>
      <c r="G14" s="7" t="s">
        <v>154</v>
      </c>
      <c r="H14" s="7" t="s">
        <v>156</v>
      </c>
    </row>
    <row r="15" spans="5:8" x14ac:dyDescent="0.3">
      <c r="E15" s="7" t="s">
        <v>152</v>
      </c>
      <c r="F15" s="7">
        <v>9</v>
      </c>
      <c r="G15" s="7" t="s">
        <v>146</v>
      </c>
      <c r="H15" s="7" t="s">
        <v>153</v>
      </c>
    </row>
    <row r="16" spans="5:8" x14ac:dyDescent="0.3">
      <c r="E16" s="7" t="s">
        <v>146</v>
      </c>
      <c r="F16" s="7">
        <v>12</v>
      </c>
      <c r="G16" s="7" t="s">
        <v>150</v>
      </c>
      <c r="H16" s="7" t="s">
        <v>151</v>
      </c>
    </row>
    <row r="17" spans="5:8" x14ac:dyDescent="0.3">
      <c r="E17" s="7" t="s">
        <v>146</v>
      </c>
      <c r="F17" s="7">
        <v>1</v>
      </c>
      <c r="G17" s="7" t="s">
        <v>149</v>
      </c>
      <c r="H17" s="7" t="s">
        <v>159</v>
      </c>
    </row>
    <row r="18" spans="5:8" x14ac:dyDescent="0.3">
      <c r="E18" s="7" t="s">
        <v>146</v>
      </c>
      <c r="F18" s="7">
        <v>21</v>
      </c>
      <c r="G18" s="7" t="s">
        <v>147</v>
      </c>
      <c r="H18" s="7" t="s">
        <v>148</v>
      </c>
    </row>
    <row r="19" spans="5:8" x14ac:dyDescent="0.3">
      <c r="E19" s="7" t="s">
        <v>146</v>
      </c>
      <c r="F19" s="7">
        <v>21</v>
      </c>
      <c r="G19" s="7" t="s">
        <v>147</v>
      </c>
      <c r="H19" s="7" t="s">
        <v>148</v>
      </c>
    </row>
    <row r="20" spans="5:8" x14ac:dyDescent="0.3">
      <c r="E20" s="7" t="s">
        <v>138</v>
      </c>
      <c r="F20" s="7">
        <v>12</v>
      </c>
      <c r="G20" s="7" t="s">
        <v>139</v>
      </c>
      <c r="H20" s="7" t="s">
        <v>140</v>
      </c>
    </row>
    <row r="21" spans="5:8" x14ac:dyDescent="0.3">
      <c r="E21" s="7" t="s">
        <v>143</v>
      </c>
      <c r="F21" s="7">
        <v>12</v>
      </c>
      <c r="G21" s="7" t="s">
        <v>144</v>
      </c>
      <c r="H21" s="7" t="s">
        <v>145</v>
      </c>
    </row>
  </sheetData>
  <conditionalFormatting sqref="G5">
    <cfRule type="cellIs" dxfId="4" priority="3" operator="lessThan">
      <formula>18</formula>
    </cfRule>
  </conditionalFormatting>
  <conditionalFormatting sqref="F12">
    <cfRule type="cellIs" dxfId="3" priority="2" operator="lessThan">
      <formula>18</formula>
    </cfRule>
  </conditionalFormatting>
  <conditionalFormatting sqref="F12:F21">
    <cfRule type="cellIs" dxfId="0" priority="1" operator="lessThan">
      <formula>18</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Button 1">
              <controlPr defaultSize="0" print="0" autoFill="0" autoPict="0" macro="[0]!insert3">
                <anchor moveWithCells="1" sizeWithCells="1">
                  <from>
                    <xdr:col>7</xdr:col>
                    <xdr:colOff>129540</xdr:colOff>
                    <xdr:row>3</xdr:row>
                    <xdr:rowOff>0</xdr:rowOff>
                  </from>
                  <to>
                    <xdr:col>8</xdr:col>
                    <xdr:colOff>579120</xdr:colOff>
                    <xdr:row>4</xdr:row>
                    <xdr:rowOff>175260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Corporate Dataset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 MEVADA</cp:lastModifiedBy>
  <dcterms:created xsi:type="dcterms:W3CDTF">2026-01-02T10:33:07Z</dcterms:created>
  <dcterms:modified xsi:type="dcterms:W3CDTF">2026-01-07T11:12:29Z</dcterms:modified>
</cp:coreProperties>
</file>